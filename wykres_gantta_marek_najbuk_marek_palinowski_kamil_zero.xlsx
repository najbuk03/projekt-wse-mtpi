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jbuk\Downloads\Janka-przedszkole\"/>
    </mc:Choice>
  </mc:AlternateContent>
  <xr:revisionPtr revIDLastSave="0" documentId="13_ncr:1_{33D0D0D6-6DEB-46EC-9FD0-6D08F40F07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Gantt" sheetId="1" r:id="rId1"/>
    <sheet name="Zespół" sheetId="2" r:id="rId2"/>
    <sheet name="Ryzyka" sheetId="3" r:id="rId3"/>
    <sheet name="Instrukcja" sheetId="4" r:id="rId4"/>
  </sheets>
  <calcPr calcId="191029"/>
</workbook>
</file>

<file path=xl/calcChain.xml><?xml version="1.0" encoding="utf-8"?>
<calcChain xmlns="http://schemas.openxmlformats.org/spreadsheetml/2006/main">
  <c r="B22" i="2" l="1"/>
  <c r="B21" i="2"/>
  <c r="B20" i="2"/>
  <c r="B19" i="2"/>
  <c r="B13" i="2"/>
  <c r="B12" i="2"/>
  <c r="B11" i="2"/>
  <c r="B10" i="2"/>
  <c r="B9" i="2"/>
  <c r="B14" i="2"/>
  <c r="B16" i="2"/>
  <c r="B15" i="2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</calcChain>
</file>

<file path=xl/sharedStrings.xml><?xml version="1.0" encoding="utf-8"?>
<sst xmlns="http://schemas.openxmlformats.org/spreadsheetml/2006/main" count="167" uniqueCount="97">
  <si>
    <t>Harmonogram Gantta — projekt „Informator dla Wędkarza”</t>
  </si>
  <si>
    <t>Metodologia Tworzenia Projektów Informatycznych | WSE Białystok | Zaliczenie projektu: 28.06.2026</t>
  </si>
  <si>
    <t>Zespół projektowy</t>
  </si>
  <si>
    <t>Legenda kolorów etapów</t>
  </si>
  <si>
    <t>Kamil Żero</t>
  </si>
  <si>
    <t>Treści dotyczące jezior, ryb, okresów ochronnych oraz informacji regionalnych.</t>
  </si>
  <si>
    <t>Start</t>
  </si>
  <si>
    <t>Analiza</t>
  </si>
  <si>
    <t>Marek Najbuk</t>
  </si>
  <si>
    <t>Koordynacja projektu, projekt bazy danych, PHP, Docker, wdrożenie na Raspberry Pi i dokumentacja.</t>
  </si>
  <si>
    <t>Zakończone</t>
  </si>
  <si>
    <t>W trakcie</t>
  </si>
  <si>
    <t>Koniec</t>
  </si>
  <si>
    <t>Projektowanie</t>
  </si>
  <si>
    <t>Marek Palinowski</t>
  </si>
  <si>
    <t>Implementacja HTML, CSS, JavaScript, interfejs użytkownika oraz testowanie aplikacji.</t>
  </si>
  <si>
    <t>Planowane</t>
  </si>
  <si>
    <t>Implementacja</t>
  </si>
  <si>
    <t>Testy</t>
  </si>
  <si>
    <t>ID</t>
  </si>
  <si>
    <t>Etap</t>
  </si>
  <si>
    <t>Zadanie</t>
  </si>
  <si>
    <t>Odpowiedzialny</t>
  </si>
  <si>
    <t>Czas [dni]</t>
  </si>
  <si>
    <t>Status</t>
  </si>
  <si>
    <t>%</t>
  </si>
  <si>
    <t>Kamień milowy</t>
  </si>
  <si>
    <t>Wdrożenie</t>
  </si>
  <si>
    <t>Dokumentacja</t>
  </si>
  <si>
    <t>Analiza wymagań projektu</t>
  </si>
  <si>
    <t>Opracowanie koncepcji aplikacji</t>
  </si>
  <si>
    <t>Projekt bazy danych MySQL</t>
  </si>
  <si>
    <t>TAK</t>
  </si>
  <si>
    <t>Zebranie treści o jeziorach</t>
  </si>
  <si>
    <t>Zebranie treści o rybach</t>
  </si>
  <si>
    <t>Informacje o ochronie, opłatach i sklepach</t>
  </si>
  <si>
    <t>Implementacja struktury HTML</t>
  </si>
  <si>
    <t>Opracowanie stylów CSS i responsywności</t>
  </si>
  <si>
    <t>Implementacja JavaScript i WCAG</t>
  </si>
  <si>
    <t>Implementacja PHP i integracja MySQL</t>
  </si>
  <si>
    <t>Panel administratora: dodawanie, edycja, usuwanie</t>
  </si>
  <si>
    <t>Formularz kontaktowy i obsługa wiadomości</t>
  </si>
  <si>
    <t>Testy funkcjonalne aplikacji</t>
  </si>
  <si>
    <t>Poprawki po testach i ujednolicenie wyglądu</t>
  </si>
  <si>
    <t>Cały zespół</t>
  </si>
  <si>
    <t>Eksport bazy z XAMPP do database.sql</t>
  </si>
  <si>
    <t>Migracja projektu na Raspberry Pi 3B+</t>
  </si>
  <si>
    <t>Dockerfile i docker-compose.yml</t>
  </si>
  <si>
    <t>Uruchomienie aplikacji w Dockerze</t>
  </si>
  <si>
    <t>Dokumentacja techniczna projektu</t>
  </si>
  <si>
    <t>Harmonogram Gantta i materiały do zaliczenia</t>
  </si>
  <si>
    <t>Przegląd końcowy i przygotowanie prezentacji</t>
  </si>
  <si>
    <t>Członek zespołu</t>
  </si>
  <si>
    <t>Zakres odpowiedzialności</t>
  </si>
  <si>
    <t>Ryzyko</t>
  </si>
  <si>
    <t>Prawdopodobieństwo</t>
  </si>
  <si>
    <t>Wpływ</t>
  </si>
  <si>
    <t>Sposób ograniczenia</t>
  </si>
  <si>
    <t>Plan reakcji</t>
  </si>
  <si>
    <t>Brak dostępności członka zespołu</t>
  </si>
  <si>
    <t>Średnie</t>
  </si>
  <si>
    <t>Średni</t>
  </si>
  <si>
    <t>Podział zadań i wspólne repozytorium</t>
  </si>
  <si>
    <t>Przeniesienie zadań na pozostałych członków</t>
  </si>
  <si>
    <t>Błędy integracji PHP z bazą danych</t>
  </si>
  <si>
    <t>Wysoki</t>
  </si>
  <si>
    <t>Testy połączenia i przygotowanie kopii db.php</t>
  </si>
  <si>
    <t>Analiza logów i poprawa konfiguracji</t>
  </si>
  <si>
    <t>Problem z uruchomieniem na Raspberry Pi</t>
  </si>
  <si>
    <t>Wdrożenie przez Docker i kopia projektu</t>
  </si>
  <si>
    <t>Odtworzenie kontenerów z docker-compose.yml</t>
  </si>
  <si>
    <t>Zajęty port 80 przez inną aplikację</t>
  </si>
  <si>
    <t>Wysokie</t>
  </si>
  <si>
    <t>Sprawdzenie docker ps i ss -tulpn</t>
  </si>
  <si>
    <t>Zmiana mapowania portów lub reverse proxy</t>
  </si>
  <si>
    <t>Utrata danych bazy</t>
  </si>
  <si>
    <t>Niskie</t>
  </si>
  <si>
    <t>Wolumen Docker db_data i eksport SQL</t>
  </si>
  <si>
    <t>Odtworzenie bazy z backupu SQL</t>
  </si>
  <si>
    <t>Instrukcja korzystania z arkusza</t>
  </si>
  <si>
    <t>1. Arkusz Gantt zawiera zadania, osoby odpowiedzialne, daty i paski harmonogramu.</t>
  </si>
  <si>
    <t>2. Paski są kolorowane automatycznie na podstawie dat Start/Koniec i etapu.</t>
  </si>
  <si>
    <t>3. Kamienie milowe oznaczono symbolem ◆.</t>
  </si>
  <si>
    <t>4. Kolumny Start, Koniec, Status i % realizacji można edytować.</t>
  </si>
  <si>
    <t>5. Arkusz Ryzyka zawiera przykładowe ryzyka zgodne z zarządzaniem projektem.</t>
  </si>
  <si>
    <t>Zespół: Kamil Żero | Marek Najbuk | Marek Palinowski</t>
  </si>
  <si>
    <t>Wskaźnik</t>
  </si>
  <si>
    <t>Wartość</t>
  </si>
  <si>
    <t>Liczba zadań</t>
  </si>
  <si>
    <t>Zadania zakończone</t>
  </si>
  <si>
    <t>Zadania w trakcie</t>
  </si>
  <si>
    <t>Zadania planowane</t>
  </si>
  <si>
    <t>Kamienie milowe</t>
  </si>
  <si>
    <t>Średni postęp</t>
  </si>
  <si>
    <t>Data startu projektu</t>
  </si>
  <si>
    <t>Data zakończenia projektu</t>
  </si>
  <si>
    <t>Osoba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</si>
</sst>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d\.mm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F3D2B"/>
      <name val="Carlito"/>
    </font>
    <font>
      <b/>
      <sz val="11"/>
      <color rgb="FFB91C1C"/>
      <name val="Carlito"/>
    </font>
    <font>
      <b/>
      <sz val="11"/>
      <color rgb="FF10251B"/>
      <name val="Carlito"/>
    </font>
    <font>
      <b/>
      <sz val="11"/>
      <name val="Carlito"/>
    </font>
    <font>
      <b/>
      <sz val="11"/>
      <color rgb="FFC00000"/>
      <name val="Carlito"/>
    </font>
    <font>
      <sz val="1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F3D2B"/>
      </patternFill>
    </fill>
    <fill>
      <patternFill patternType="solid">
        <fgColor rgb="FF1F6B45"/>
      </patternFill>
    </fill>
    <fill>
      <patternFill patternType="solid">
        <fgColor rgb="FFD9EAD3"/>
      </patternFill>
    </fill>
    <fill>
      <patternFill patternType="solid">
        <fgColor rgb="FFFFD966"/>
      </patternFill>
    </fill>
    <fill>
      <patternFill patternType="solid">
        <fgColor rgb="FF9DC3E6"/>
      </patternFill>
    </fill>
    <fill>
      <patternFill patternType="solid">
        <fgColor rgb="FFA9D18E"/>
      </patternFill>
    </fill>
    <fill>
      <patternFill patternType="solid">
        <fgColor rgb="FFF4B183"/>
      </patternFill>
    </fill>
    <fill>
      <patternFill patternType="solid">
        <fgColor rgb="FF70AD47"/>
      </patternFill>
    </fill>
    <fill>
      <patternFill patternType="solid">
        <fgColor rgb="FFC9DAF8"/>
      </patternFill>
    </fill>
    <fill>
      <patternFill patternType="solid">
        <fgColor rgb="FFF2F2F2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165" fontId="2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vertical="center" wrapText="1"/>
    </xf>
    <xf numFmtId="164" fontId="0" fillId="0" borderId="0" xfId="1" applyNumberFormat="1" applyFont="1" applyAlignment="1">
      <alignment vertical="center"/>
    </xf>
    <xf numFmtId="9" fontId="0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5" fillId="5" borderId="0" xfId="1" applyFont="1" applyFill="1" applyAlignment="1">
      <alignment vertical="center"/>
    </xf>
    <xf numFmtId="0" fontId="5" fillId="6" borderId="0" xfId="1" applyFont="1" applyFill="1" applyAlignment="1">
      <alignment vertical="center"/>
    </xf>
    <xf numFmtId="0" fontId="5" fillId="7" borderId="0" xfId="1" applyFont="1" applyFill="1" applyAlignment="1">
      <alignment vertical="center"/>
    </xf>
    <xf numFmtId="0" fontId="5" fillId="8" borderId="0" xfId="1" applyFont="1" applyFill="1" applyAlignment="1">
      <alignment vertical="center"/>
    </xf>
    <xf numFmtId="0" fontId="5" fillId="9" borderId="0" xfId="1" applyFont="1" applyFill="1" applyAlignment="1">
      <alignment vertical="center"/>
    </xf>
    <xf numFmtId="0" fontId="5" fillId="10" borderId="0" xfId="1" applyFont="1" applyFill="1" applyAlignment="1">
      <alignment vertical="center"/>
    </xf>
    <xf numFmtId="165" fontId="2" fillId="11" borderId="0" xfId="1" applyNumberFormat="1" applyFont="1" applyFill="1" applyAlignment="1">
      <alignment horizontal="center" vertical="center" wrapText="1"/>
    </xf>
    <xf numFmtId="0" fontId="0" fillId="11" borderId="0" xfId="1" applyFont="1" applyFill="1"/>
    <xf numFmtId="0" fontId="4" fillId="11" borderId="0" xfId="1" applyFont="1" applyFill="1" applyAlignment="1">
      <alignment horizontal="center" vertical="center"/>
    </xf>
    <xf numFmtId="0" fontId="6" fillId="11" borderId="0" xfId="1" applyFont="1" applyFill="1"/>
    <xf numFmtId="0" fontId="7" fillId="11" borderId="0" xfId="1" applyFont="1" applyFill="1" applyAlignment="1">
      <alignment horizontal="center" vertical="center"/>
    </xf>
    <xf numFmtId="0" fontId="6" fillId="5" borderId="1" xfId="1" applyFont="1" applyFill="1" applyBorder="1" applyAlignment="1">
      <alignment horizontal="center"/>
    </xf>
    <xf numFmtId="0" fontId="6" fillId="6" borderId="1" xfId="1" applyFont="1" applyFill="1" applyBorder="1" applyAlignment="1">
      <alignment horizontal="center"/>
    </xf>
    <xf numFmtId="0" fontId="6" fillId="7" borderId="1" xfId="1" applyFont="1" applyFill="1" applyBorder="1" applyAlignment="1">
      <alignment horizontal="center"/>
    </xf>
    <xf numFmtId="0" fontId="3" fillId="8" borderId="1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2" fillId="12" borderId="0" xfId="1" applyFont="1" applyFill="1" applyAlignment="1">
      <alignment horizontal="center"/>
    </xf>
    <xf numFmtId="0" fontId="6" fillId="0" borderId="0" xfId="1" applyFont="1"/>
    <xf numFmtId="9" fontId="0" fillId="0" borderId="0" xfId="1" applyNumberFormat="1" applyFont="1"/>
    <xf numFmtId="164" fontId="0" fillId="0" borderId="0" xfId="1" applyNumberFormat="1" applyFont="1"/>
  </cellXfs>
  <cellStyles count="2">
    <cellStyle name="Normal" xfId="1" xr:uid="{00000000-0005-0000-0000-000000000000}"/>
    <cellStyle name="Normalny" xfId="0" builtinId="0"/>
  </cellStyles>
  <dxfs count="10">
    <dxf>
      <font>
        <b/>
        <color rgb="FFC00000"/>
      </font>
      <fill>
        <patternFill patternType="solid">
          <bgColor rgb="FFFFFFFF"/>
        </patternFill>
      </fill>
    </dxf>
    <dxf>
      <fill>
        <patternFill patternType="solid">
          <bgColor rgb="FFC9DAF8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F4B183"/>
        </patternFill>
      </fill>
    </dxf>
    <dxf>
      <fill>
        <patternFill patternType="solid">
          <bgColor rgb="FFA9D18E"/>
        </patternFill>
      </fill>
    </dxf>
    <dxf>
      <fill>
        <patternFill patternType="solid">
          <bgColor rgb="FF9DC3E6"/>
        </patternFill>
      </fill>
    </dxf>
    <dxf>
      <fill>
        <patternFill patternType="solid">
          <bgColor rgb="FFFFD966"/>
        </patternFill>
      </fill>
    </dxf>
    <dxf>
      <font>
        <b/>
        <color rgb="FF666666"/>
      </font>
      <fill>
        <patternFill patternType="solid">
          <bgColor rgb="FFE7E6E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0F3D2B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adaniaGantt" displayName="ZadaniaGantt" ref="A4:J26">
  <tableColumns count="10">
    <tableColumn id="1" xr3:uid="{00000000-0010-0000-0000-000001000000}" name="ID"/>
    <tableColumn id="2" xr3:uid="{00000000-0010-0000-0000-000002000000}" name="Etap"/>
    <tableColumn id="3" xr3:uid="{00000000-0010-0000-0000-000003000000}" name="Zadanie"/>
    <tableColumn id="4" xr3:uid="{00000000-0010-0000-0000-000004000000}" name="Odpowiedzialny"/>
    <tableColumn id="5" xr3:uid="{00000000-0010-0000-0000-000005000000}" name="Start"/>
    <tableColumn id="6" xr3:uid="{00000000-0010-0000-0000-000006000000}" name="Koniec"/>
    <tableColumn id="7" xr3:uid="{00000000-0010-0000-0000-000007000000}" name="Czas [dni]"/>
    <tableColumn id="8" xr3:uid="{00000000-0010-0000-0000-000008000000}" name="Status"/>
    <tableColumn id="9" xr3:uid="{00000000-0010-0000-0000-000009000000}" name="%"/>
    <tableColumn id="10" xr3:uid="{00000000-0010-0000-0000-00000A000000}" name="Kamień milow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Zespolu" displayName="TabelaZespolu" ref="A3:B6">
  <tableColumns count="2">
    <tableColumn id="1" xr3:uid="{00000000-0010-0000-0100-000001000000}" name="Członek zespołu"/>
    <tableColumn id="2" xr3:uid="{00000000-0010-0000-0100-000002000000}" name="Zakres odpowiedzialnośc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Ryzyk" displayName="TabelaRyzyk" ref="A1:E6">
  <tableColumns count="5">
    <tableColumn id="1" xr3:uid="{00000000-0010-0000-0200-000001000000}" name="Ryzyko"/>
    <tableColumn id="2" xr3:uid="{00000000-0010-0000-0200-000002000000}" name="Prawdopodobieństwo"/>
    <tableColumn id="3" xr3:uid="{00000000-0010-0000-0200-000003000000}" name="Wpływ"/>
    <tableColumn id="4" xr3:uid="{00000000-0010-0000-0200-000004000000}" name="Sposób ograniczenia"/>
    <tableColumn id="5" xr3:uid="{00000000-0010-0000-0200-000005000000}" name="Plan reakcj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3"/>
  <sheetViews>
    <sheetView topLeftCell="A12" workbookViewId="0">
      <selection activeCell="C25" sqref="C25"/>
    </sheetView>
  </sheetViews>
  <sheetFormatPr defaultRowHeight="13.8"/>
  <cols>
    <col min="1" max="1" width="2.8984375" bestFit="1" customWidth="1"/>
    <col min="2" max="2" width="13.8984375" bestFit="1" customWidth="1"/>
    <col min="3" max="3" width="42.59765625" bestFit="1" customWidth="1"/>
    <col min="4" max="4" width="19.3984375" bestFit="1" customWidth="1"/>
    <col min="5" max="6" width="9.8984375" bestFit="1" customWidth="1"/>
    <col min="7" max="7" width="9.5" bestFit="1" customWidth="1"/>
    <col min="8" max="8" width="11.296875" bestFit="1" customWidth="1"/>
    <col min="9" max="9" width="5.5" bestFit="1" customWidth="1"/>
    <col min="10" max="10" width="14.59765625" bestFit="1" customWidth="1"/>
    <col min="11" max="49" width="5.3984375" bestFit="1" customWidth="1"/>
    <col min="50" max="50" width="4" customWidth="1"/>
    <col min="51" max="58" width="5.3984375" bestFit="1" customWidth="1"/>
  </cols>
  <sheetData>
    <row r="1" spans="1:58">
      <c r="A1" t="s">
        <v>85</v>
      </c>
    </row>
    <row r="2" spans="1:58" ht="24" customHeight="1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</row>
    <row r="3" spans="1:58" ht="17.55" customHeight="1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pans="1:58" ht="17.5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6</v>
      </c>
      <c r="F4" s="2" t="s">
        <v>12</v>
      </c>
      <c r="G4" s="2" t="s">
        <v>23</v>
      </c>
      <c r="H4" s="2" t="s">
        <v>24</v>
      </c>
      <c r="I4" s="2" t="s">
        <v>25</v>
      </c>
      <c r="J4" s="2" t="s">
        <v>26</v>
      </c>
      <c r="K4" s="3">
        <v>46154</v>
      </c>
      <c r="L4" s="3">
        <v>46155</v>
      </c>
      <c r="M4" s="3">
        <v>46156</v>
      </c>
      <c r="N4" s="3">
        <v>46157</v>
      </c>
      <c r="O4" s="16">
        <v>46158</v>
      </c>
      <c r="P4" s="16">
        <v>46159</v>
      </c>
      <c r="Q4" s="3">
        <v>46160</v>
      </c>
      <c r="R4" s="3">
        <v>46161</v>
      </c>
      <c r="S4" s="3">
        <v>46162</v>
      </c>
      <c r="T4" s="3">
        <v>46163</v>
      </c>
      <c r="U4" s="3">
        <v>46164</v>
      </c>
      <c r="V4" s="16">
        <v>46165</v>
      </c>
      <c r="W4" s="16">
        <v>46166</v>
      </c>
      <c r="X4" s="3">
        <v>46167</v>
      </c>
      <c r="Y4" s="3">
        <v>46168</v>
      </c>
      <c r="Z4" s="3">
        <v>46169</v>
      </c>
      <c r="AA4" s="3">
        <v>46170</v>
      </c>
      <c r="AB4" s="3">
        <v>46171</v>
      </c>
      <c r="AC4" s="16">
        <v>46172</v>
      </c>
      <c r="AD4" s="16">
        <v>46173</v>
      </c>
      <c r="AE4" s="3">
        <v>46174</v>
      </c>
      <c r="AF4" s="3">
        <v>46175</v>
      </c>
      <c r="AG4" s="3">
        <v>46176</v>
      </c>
      <c r="AH4" s="3">
        <v>46177</v>
      </c>
      <c r="AI4" s="3">
        <v>46178</v>
      </c>
      <c r="AJ4" s="16">
        <v>46179</v>
      </c>
      <c r="AK4" s="16">
        <v>46180</v>
      </c>
      <c r="AL4" s="3">
        <v>46181</v>
      </c>
      <c r="AM4" s="3">
        <v>46182</v>
      </c>
      <c r="AN4" s="3">
        <v>46183</v>
      </c>
      <c r="AO4" s="3">
        <v>46184</v>
      </c>
      <c r="AP4" s="3">
        <v>46185</v>
      </c>
      <c r="AQ4" s="16">
        <v>46186</v>
      </c>
      <c r="AR4" s="16">
        <v>46187</v>
      </c>
      <c r="AS4" s="3">
        <v>46188</v>
      </c>
      <c r="AT4" s="3">
        <v>46189</v>
      </c>
      <c r="AU4" s="3">
        <v>46190</v>
      </c>
      <c r="AV4" s="3">
        <v>46191</v>
      </c>
      <c r="AW4" s="3">
        <v>46192</v>
      </c>
      <c r="AX4" s="16">
        <v>46193</v>
      </c>
      <c r="AY4" s="16">
        <v>46194</v>
      </c>
      <c r="AZ4" s="3">
        <v>46195</v>
      </c>
      <c r="BA4" s="3">
        <v>46196</v>
      </c>
      <c r="BB4" s="3">
        <v>46197</v>
      </c>
      <c r="BC4" s="3">
        <v>46198</v>
      </c>
      <c r="BD4" s="3">
        <v>46199</v>
      </c>
      <c r="BE4" s="16">
        <v>46200</v>
      </c>
      <c r="BF4" s="16">
        <v>46201</v>
      </c>
    </row>
    <row r="5" spans="1:58">
      <c r="O5" s="17"/>
      <c r="P5" s="17"/>
      <c r="V5" s="17"/>
      <c r="W5" s="17"/>
      <c r="AC5" s="17"/>
      <c r="AD5" s="17"/>
      <c r="AJ5" s="17"/>
      <c r="AK5" s="17"/>
      <c r="AQ5" s="19"/>
      <c r="AR5" s="17"/>
      <c r="AX5" s="17"/>
      <c r="AY5" s="17"/>
      <c r="BE5" s="17"/>
      <c r="BF5" s="17"/>
    </row>
    <row r="6" spans="1:58" ht="27.15" customHeight="1">
      <c r="A6" s="5">
        <v>1</v>
      </c>
      <c r="B6" s="10" t="s">
        <v>7</v>
      </c>
      <c r="C6" s="6" t="s">
        <v>29</v>
      </c>
      <c r="D6" s="6" t="s">
        <v>44</v>
      </c>
      <c r="E6" s="7">
        <v>46154</v>
      </c>
      <c r="F6" s="7">
        <v>46155</v>
      </c>
      <c r="G6" s="5">
        <v>2</v>
      </c>
      <c r="H6" s="5" t="s">
        <v>10</v>
      </c>
      <c r="I6" s="8">
        <v>1</v>
      </c>
      <c r="J6" s="5"/>
      <c r="K6" s="9" t="str">
        <f t="shared" ref="K6:AP6" si="0">IF(AND(K$4&gt;=$E6,K$4&lt;=$F6),IF($J6="TAK","◆",""),"")</f>
        <v/>
      </c>
      <c r="L6" s="9" t="str">
        <f t="shared" si="0"/>
        <v/>
      </c>
      <c r="M6" s="9" t="str">
        <f t="shared" si="0"/>
        <v/>
      </c>
      <c r="N6" s="9" t="str">
        <f t="shared" si="0"/>
        <v/>
      </c>
      <c r="O6" s="18" t="str">
        <f t="shared" si="0"/>
        <v/>
      </c>
      <c r="P6" s="18" t="str">
        <f t="shared" si="0"/>
        <v/>
      </c>
      <c r="Q6" s="9" t="str">
        <f t="shared" si="0"/>
        <v/>
      </c>
      <c r="R6" s="9" t="str">
        <f t="shared" si="0"/>
        <v/>
      </c>
      <c r="S6" s="9" t="str">
        <f t="shared" si="0"/>
        <v/>
      </c>
      <c r="T6" s="9" t="str">
        <f t="shared" si="0"/>
        <v/>
      </c>
      <c r="U6" s="9" t="str">
        <f t="shared" si="0"/>
        <v/>
      </c>
      <c r="V6" s="18" t="str">
        <f t="shared" si="0"/>
        <v/>
      </c>
      <c r="W6" s="18" t="str">
        <f t="shared" si="0"/>
        <v/>
      </c>
      <c r="X6" s="9" t="str">
        <f t="shared" si="0"/>
        <v/>
      </c>
      <c r="Y6" s="9" t="str">
        <f t="shared" si="0"/>
        <v/>
      </c>
      <c r="Z6" s="9" t="str">
        <f t="shared" si="0"/>
        <v/>
      </c>
      <c r="AA6" s="9" t="str">
        <f t="shared" si="0"/>
        <v/>
      </c>
      <c r="AB6" s="9" t="str">
        <f t="shared" si="0"/>
        <v/>
      </c>
      <c r="AC6" s="18" t="str">
        <f t="shared" si="0"/>
        <v/>
      </c>
      <c r="AD6" s="18" t="str">
        <f t="shared" si="0"/>
        <v/>
      </c>
      <c r="AE6" s="9" t="str">
        <f t="shared" si="0"/>
        <v/>
      </c>
      <c r="AF6" s="9" t="str">
        <f t="shared" si="0"/>
        <v/>
      </c>
      <c r="AG6" s="9" t="str">
        <f t="shared" si="0"/>
        <v/>
      </c>
      <c r="AH6" s="9" t="str">
        <f t="shared" si="0"/>
        <v/>
      </c>
      <c r="AI6" s="9" t="str">
        <f t="shared" si="0"/>
        <v/>
      </c>
      <c r="AJ6" s="18" t="str">
        <f t="shared" si="0"/>
        <v/>
      </c>
      <c r="AK6" s="18" t="str">
        <f t="shared" si="0"/>
        <v/>
      </c>
      <c r="AL6" s="9" t="str">
        <f t="shared" si="0"/>
        <v/>
      </c>
      <c r="AM6" s="9" t="str">
        <f t="shared" si="0"/>
        <v/>
      </c>
      <c r="AN6" s="9" t="str">
        <f t="shared" si="0"/>
        <v/>
      </c>
      <c r="AO6" s="9" t="str">
        <f t="shared" si="0"/>
        <v/>
      </c>
      <c r="AP6" s="9" t="str">
        <f t="shared" si="0"/>
        <v/>
      </c>
      <c r="AQ6" s="18"/>
      <c r="AR6" s="18" t="str">
        <f t="shared" ref="AR6:BF6" si="1">IF(AND(AR$4&gt;=$E6,AR$4&lt;=$F6),IF($J6="TAK","◆",""),"")</f>
        <v/>
      </c>
      <c r="AS6" s="9" t="str">
        <f t="shared" si="1"/>
        <v/>
      </c>
      <c r="AT6" s="9" t="str">
        <f t="shared" si="1"/>
        <v/>
      </c>
      <c r="AU6" s="9" t="str">
        <f t="shared" si="1"/>
        <v/>
      </c>
      <c r="AV6" s="9" t="str">
        <f t="shared" si="1"/>
        <v/>
      </c>
      <c r="AW6" s="9" t="str">
        <f t="shared" si="1"/>
        <v/>
      </c>
      <c r="AX6" s="18" t="str">
        <f t="shared" si="1"/>
        <v/>
      </c>
      <c r="AY6" s="18" t="str">
        <f t="shared" si="1"/>
        <v/>
      </c>
      <c r="AZ6" s="9" t="str">
        <f t="shared" si="1"/>
        <v/>
      </c>
      <c r="BA6" s="9" t="str">
        <f t="shared" si="1"/>
        <v/>
      </c>
      <c r="BB6" s="9" t="str">
        <f t="shared" si="1"/>
        <v/>
      </c>
      <c r="BC6" s="9" t="str">
        <f t="shared" si="1"/>
        <v/>
      </c>
      <c r="BD6" s="9" t="str">
        <f t="shared" si="1"/>
        <v/>
      </c>
      <c r="BE6" s="18" t="str">
        <f t="shared" si="1"/>
        <v/>
      </c>
      <c r="BF6" s="18" t="str">
        <f t="shared" si="1"/>
        <v/>
      </c>
    </row>
    <row r="7" spans="1:58" ht="27.15" customHeight="1">
      <c r="A7" s="5">
        <v>2</v>
      </c>
      <c r="B7" s="10" t="s">
        <v>7</v>
      </c>
      <c r="C7" s="6" t="s">
        <v>30</v>
      </c>
      <c r="D7" s="6" t="s">
        <v>44</v>
      </c>
      <c r="E7" s="7">
        <v>46155</v>
      </c>
      <c r="F7" s="7">
        <v>46156</v>
      </c>
      <c r="G7" s="5">
        <v>2</v>
      </c>
      <c r="H7" s="5" t="s">
        <v>10</v>
      </c>
      <c r="I7" s="8">
        <v>1</v>
      </c>
      <c r="J7" s="5"/>
      <c r="K7" s="9" t="str">
        <f t="shared" ref="K7:T16" si="2">IF(AND(K$4&gt;=$E7,K$4&lt;=$F7),IF($J7="TAK","◆",""),"")</f>
        <v/>
      </c>
      <c r="L7" s="9" t="str">
        <f t="shared" si="2"/>
        <v/>
      </c>
      <c r="M7" s="9" t="str">
        <f t="shared" si="2"/>
        <v/>
      </c>
      <c r="N7" s="9" t="str">
        <f t="shared" si="2"/>
        <v/>
      </c>
      <c r="O7" s="18" t="str">
        <f t="shared" si="2"/>
        <v/>
      </c>
      <c r="P7" s="18" t="str">
        <f t="shared" si="2"/>
        <v/>
      </c>
      <c r="Q7" s="9" t="str">
        <f t="shared" si="2"/>
        <v/>
      </c>
      <c r="R7" s="9" t="str">
        <f t="shared" si="2"/>
        <v/>
      </c>
      <c r="S7" s="9" t="str">
        <f t="shared" si="2"/>
        <v/>
      </c>
      <c r="T7" s="9" t="str">
        <f t="shared" si="2"/>
        <v/>
      </c>
      <c r="U7" s="9" t="str">
        <f t="shared" ref="U7:AD16" si="3">IF(AND(U$4&gt;=$E7,U$4&lt;=$F7),IF($J7="TAK","◆",""),"")</f>
        <v/>
      </c>
      <c r="V7" s="18" t="str">
        <f t="shared" si="3"/>
        <v/>
      </c>
      <c r="W7" s="18" t="str">
        <f t="shared" si="3"/>
        <v/>
      </c>
      <c r="X7" s="9" t="str">
        <f t="shared" si="3"/>
        <v/>
      </c>
      <c r="Y7" s="9" t="str">
        <f t="shared" si="3"/>
        <v/>
      </c>
      <c r="Z7" s="9" t="str">
        <f t="shared" si="3"/>
        <v/>
      </c>
      <c r="AA7" s="9" t="str">
        <f t="shared" si="3"/>
        <v/>
      </c>
      <c r="AB7" s="9" t="str">
        <f t="shared" si="3"/>
        <v/>
      </c>
      <c r="AC7" s="18" t="str">
        <f t="shared" si="3"/>
        <v/>
      </c>
      <c r="AD7" s="18" t="str">
        <f t="shared" si="3"/>
        <v/>
      </c>
      <c r="AE7" s="9" t="str">
        <f t="shared" ref="AE7:AP16" si="4">IF(AND(AE$4&gt;=$E7,AE$4&lt;=$F7),IF($J7="TAK","◆",""),"")</f>
        <v/>
      </c>
      <c r="AF7" s="9" t="str">
        <f t="shared" si="4"/>
        <v/>
      </c>
      <c r="AG7" s="9" t="str">
        <f t="shared" si="4"/>
        <v/>
      </c>
      <c r="AH7" s="9" t="str">
        <f t="shared" si="4"/>
        <v/>
      </c>
      <c r="AI7" s="9" t="str">
        <f t="shared" si="4"/>
        <v/>
      </c>
      <c r="AJ7" s="18" t="str">
        <f t="shared" si="4"/>
        <v/>
      </c>
      <c r="AK7" s="18" t="str">
        <f t="shared" si="4"/>
        <v/>
      </c>
      <c r="AL7" s="9" t="str">
        <f t="shared" si="4"/>
        <v/>
      </c>
      <c r="AM7" s="9" t="str">
        <f t="shared" si="4"/>
        <v/>
      </c>
      <c r="AN7" s="9" t="str">
        <f t="shared" si="4"/>
        <v/>
      </c>
      <c r="AO7" s="9" t="str">
        <f t="shared" si="4"/>
        <v/>
      </c>
      <c r="AP7" s="9" t="str">
        <f t="shared" si="4"/>
        <v/>
      </c>
      <c r="AQ7" s="20"/>
      <c r="AR7" s="18"/>
      <c r="AS7" s="9"/>
      <c r="AT7" s="9" t="str">
        <f t="shared" ref="AT7:BF16" si="5">IF(AND(AT$4&gt;=$E7,AT$4&lt;=$F7),IF($J7="TAK","◆",""),"")</f>
        <v/>
      </c>
      <c r="AU7" s="9" t="str">
        <f t="shared" si="5"/>
        <v/>
      </c>
      <c r="AV7" s="9" t="str">
        <f t="shared" si="5"/>
        <v/>
      </c>
      <c r="AW7" s="9" t="str">
        <f t="shared" si="5"/>
        <v/>
      </c>
      <c r="AX7" s="18" t="str">
        <f t="shared" si="5"/>
        <v/>
      </c>
      <c r="AY7" s="18" t="str">
        <f t="shared" si="5"/>
        <v/>
      </c>
      <c r="AZ7" s="9" t="str">
        <f t="shared" si="5"/>
        <v/>
      </c>
      <c r="BA7" s="9" t="str">
        <f t="shared" si="5"/>
        <v/>
      </c>
      <c r="BB7" s="9" t="str">
        <f t="shared" si="5"/>
        <v/>
      </c>
      <c r="BC7" s="9" t="str">
        <f t="shared" si="5"/>
        <v/>
      </c>
      <c r="BD7" s="9" t="str">
        <f t="shared" si="5"/>
        <v/>
      </c>
      <c r="BE7" s="18" t="str">
        <f t="shared" si="5"/>
        <v/>
      </c>
      <c r="BF7" s="18" t="str">
        <f t="shared" si="5"/>
        <v/>
      </c>
    </row>
    <row r="8" spans="1:58" ht="27.15" customHeight="1">
      <c r="A8" s="5">
        <v>3</v>
      </c>
      <c r="B8" s="11" t="s">
        <v>13</v>
      </c>
      <c r="C8" s="6" t="s">
        <v>31</v>
      </c>
      <c r="D8" s="6" t="s">
        <v>4</v>
      </c>
      <c r="E8" s="7">
        <v>46157</v>
      </c>
      <c r="F8" s="7">
        <v>46159</v>
      </c>
      <c r="G8" s="5">
        <v>3</v>
      </c>
      <c r="H8" s="5" t="s">
        <v>10</v>
      </c>
      <c r="I8" s="8">
        <v>1</v>
      </c>
      <c r="J8" s="5" t="s">
        <v>32</v>
      </c>
      <c r="K8" s="9" t="str">
        <f t="shared" si="2"/>
        <v/>
      </c>
      <c r="L8" s="9" t="str">
        <f t="shared" si="2"/>
        <v/>
      </c>
      <c r="M8" s="9" t="str">
        <f t="shared" si="2"/>
        <v/>
      </c>
      <c r="N8" s="9" t="str">
        <f t="shared" si="2"/>
        <v>◆</v>
      </c>
      <c r="O8" s="18" t="str">
        <f t="shared" si="2"/>
        <v>◆</v>
      </c>
      <c r="P8" s="18" t="str">
        <f t="shared" si="2"/>
        <v>◆</v>
      </c>
      <c r="Q8" s="9" t="str">
        <f t="shared" si="2"/>
        <v/>
      </c>
      <c r="R8" s="9" t="str">
        <f t="shared" si="2"/>
        <v/>
      </c>
      <c r="S8" s="9" t="str">
        <f t="shared" si="2"/>
        <v/>
      </c>
      <c r="T8" s="9" t="str">
        <f t="shared" si="2"/>
        <v/>
      </c>
      <c r="U8" s="9" t="str">
        <f t="shared" si="3"/>
        <v/>
      </c>
      <c r="V8" s="18" t="str">
        <f t="shared" si="3"/>
        <v/>
      </c>
      <c r="W8" s="18" t="str">
        <f t="shared" si="3"/>
        <v/>
      </c>
      <c r="X8" s="9" t="str">
        <f t="shared" si="3"/>
        <v/>
      </c>
      <c r="Y8" s="9" t="str">
        <f t="shared" si="3"/>
        <v/>
      </c>
      <c r="Z8" s="9" t="str">
        <f t="shared" si="3"/>
        <v/>
      </c>
      <c r="AA8" s="9" t="str">
        <f t="shared" si="3"/>
        <v/>
      </c>
      <c r="AB8" s="9" t="str">
        <f t="shared" si="3"/>
        <v/>
      </c>
      <c r="AC8" s="18" t="str">
        <f t="shared" si="3"/>
        <v/>
      </c>
      <c r="AD8" s="18" t="str">
        <f t="shared" si="3"/>
        <v/>
      </c>
      <c r="AE8" s="9" t="str">
        <f t="shared" si="4"/>
        <v/>
      </c>
      <c r="AF8" s="9" t="str">
        <f t="shared" si="4"/>
        <v/>
      </c>
      <c r="AG8" s="9" t="str">
        <f t="shared" si="4"/>
        <v/>
      </c>
      <c r="AH8" s="9" t="str">
        <f t="shared" si="4"/>
        <v/>
      </c>
      <c r="AI8" s="9" t="str">
        <f t="shared" si="4"/>
        <v/>
      </c>
      <c r="AJ8" s="18" t="str">
        <f t="shared" si="4"/>
        <v/>
      </c>
      <c r="AK8" s="18" t="str">
        <f t="shared" si="4"/>
        <v/>
      </c>
      <c r="AL8" s="9" t="str">
        <f t="shared" si="4"/>
        <v/>
      </c>
      <c r="AM8" s="9" t="str">
        <f t="shared" si="4"/>
        <v/>
      </c>
      <c r="AN8" s="9" t="str">
        <f t="shared" si="4"/>
        <v/>
      </c>
      <c r="AO8" s="9" t="str">
        <f t="shared" si="4"/>
        <v/>
      </c>
      <c r="AP8" s="9" t="str">
        <f t="shared" si="4"/>
        <v/>
      </c>
      <c r="AQ8" s="18" t="str">
        <f t="shared" ref="AQ8:AS26" si="6">IF(AND(AQ$4&gt;=$E8,AQ$4&lt;=$F8),IF($J8="TAK","◆",""),"")</f>
        <v/>
      </c>
      <c r="AR8" s="18" t="str">
        <f t="shared" si="6"/>
        <v/>
      </c>
      <c r="AS8" s="9" t="str">
        <f t="shared" si="6"/>
        <v/>
      </c>
      <c r="AT8" s="9" t="str">
        <f t="shared" si="5"/>
        <v/>
      </c>
      <c r="AU8" s="9" t="str">
        <f t="shared" si="5"/>
        <v/>
      </c>
      <c r="AV8" s="9" t="str">
        <f t="shared" si="5"/>
        <v/>
      </c>
      <c r="AW8" s="9" t="str">
        <f t="shared" si="5"/>
        <v/>
      </c>
      <c r="AX8" s="18" t="str">
        <f t="shared" si="5"/>
        <v/>
      </c>
      <c r="AY8" s="18" t="str">
        <f t="shared" si="5"/>
        <v/>
      </c>
      <c r="AZ8" s="9" t="str">
        <f t="shared" si="5"/>
        <v/>
      </c>
      <c r="BA8" s="9" t="str">
        <f t="shared" si="5"/>
        <v/>
      </c>
      <c r="BB8" s="9" t="str">
        <f t="shared" si="5"/>
        <v/>
      </c>
      <c r="BC8" s="9" t="str">
        <f t="shared" si="5"/>
        <v/>
      </c>
      <c r="BD8" s="9" t="str">
        <f t="shared" si="5"/>
        <v/>
      </c>
      <c r="BE8" s="18" t="str">
        <f t="shared" si="5"/>
        <v/>
      </c>
      <c r="BF8" s="18" t="str">
        <f t="shared" si="5"/>
        <v/>
      </c>
    </row>
    <row r="9" spans="1:58" ht="27.15" customHeight="1">
      <c r="A9" s="5">
        <v>4</v>
      </c>
      <c r="B9" s="11" t="s">
        <v>13</v>
      </c>
      <c r="C9" s="6" t="s">
        <v>33</v>
      </c>
      <c r="D9" s="6" t="s">
        <v>4</v>
      </c>
      <c r="E9" s="7">
        <v>46157</v>
      </c>
      <c r="F9" s="7">
        <v>46161</v>
      </c>
      <c r="G9" s="5">
        <v>5</v>
      </c>
      <c r="H9" s="5" t="s">
        <v>10</v>
      </c>
      <c r="I9" s="8">
        <v>1</v>
      </c>
      <c r="J9" s="5"/>
      <c r="K9" s="9" t="str">
        <f t="shared" si="2"/>
        <v/>
      </c>
      <c r="L9" s="9" t="str">
        <f t="shared" si="2"/>
        <v/>
      </c>
      <c r="M9" s="9" t="str">
        <f t="shared" si="2"/>
        <v/>
      </c>
      <c r="N9" s="9" t="str">
        <f t="shared" si="2"/>
        <v/>
      </c>
      <c r="O9" s="18" t="str">
        <f t="shared" si="2"/>
        <v/>
      </c>
      <c r="P9" s="18" t="str">
        <f t="shared" si="2"/>
        <v/>
      </c>
      <c r="Q9" s="9" t="str">
        <f t="shared" si="2"/>
        <v/>
      </c>
      <c r="R9" s="9" t="str">
        <f t="shared" si="2"/>
        <v/>
      </c>
      <c r="S9" s="9" t="str">
        <f t="shared" si="2"/>
        <v/>
      </c>
      <c r="T9" s="9" t="str">
        <f t="shared" si="2"/>
        <v/>
      </c>
      <c r="U9" s="9" t="str">
        <f t="shared" si="3"/>
        <v/>
      </c>
      <c r="V9" s="18" t="str">
        <f t="shared" si="3"/>
        <v/>
      </c>
      <c r="W9" s="18" t="str">
        <f t="shared" si="3"/>
        <v/>
      </c>
      <c r="X9" s="9" t="str">
        <f t="shared" si="3"/>
        <v/>
      </c>
      <c r="Y9" s="9" t="str">
        <f t="shared" si="3"/>
        <v/>
      </c>
      <c r="Z9" s="9" t="str">
        <f t="shared" si="3"/>
        <v/>
      </c>
      <c r="AA9" s="9" t="str">
        <f t="shared" si="3"/>
        <v/>
      </c>
      <c r="AB9" s="9" t="str">
        <f t="shared" si="3"/>
        <v/>
      </c>
      <c r="AC9" s="18" t="str">
        <f t="shared" si="3"/>
        <v/>
      </c>
      <c r="AD9" s="18" t="str">
        <f t="shared" si="3"/>
        <v/>
      </c>
      <c r="AE9" s="9" t="str">
        <f t="shared" si="4"/>
        <v/>
      </c>
      <c r="AF9" s="9" t="str">
        <f t="shared" si="4"/>
        <v/>
      </c>
      <c r="AG9" s="9" t="str">
        <f t="shared" si="4"/>
        <v/>
      </c>
      <c r="AH9" s="9" t="str">
        <f t="shared" si="4"/>
        <v/>
      </c>
      <c r="AI9" s="9" t="str">
        <f t="shared" si="4"/>
        <v/>
      </c>
      <c r="AJ9" s="18" t="str">
        <f t="shared" si="4"/>
        <v/>
      </c>
      <c r="AK9" s="18" t="str">
        <f t="shared" si="4"/>
        <v/>
      </c>
      <c r="AL9" s="9" t="str">
        <f t="shared" si="4"/>
        <v/>
      </c>
      <c r="AM9" s="9" t="str">
        <f t="shared" si="4"/>
        <v/>
      </c>
      <c r="AN9" s="9" t="str">
        <f t="shared" si="4"/>
        <v/>
      </c>
      <c r="AO9" s="9" t="str">
        <f t="shared" si="4"/>
        <v/>
      </c>
      <c r="AP9" s="9" t="str">
        <f t="shared" si="4"/>
        <v/>
      </c>
      <c r="AQ9" s="18" t="str">
        <f t="shared" si="6"/>
        <v/>
      </c>
      <c r="AR9" s="18" t="str">
        <f t="shared" si="6"/>
        <v/>
      </c>
      <c r="AS9" s="9" t="str">
        <f t="shared" si="6"/>
        <v/>
      </c>
      <c r="AT9" s="9" t="str">
        <f t="shared" si="5"/>
        <v/>
      </c>
      <c r="AU9" s="9" t="str">
        <f t="shared" si="5"/>
        <v/>
      </c>
      <c r="AV9" s="9" t="str">
        <f t="shared" si="5"/>
        <v/>
      </c>
      <c r="AW9" s="9" t="str">
        <f t="shared" si="5"/>
        <v/>
      </c>
      <c r="AX9" s="18" t="str">
        <f t="shared" si="5"/>
        <v/>
      </c>
      <c r="AY9" s="18" t="str">
        <f t="shared" si="5"/>
        <v/>
      </c>
      <c r="AZ9" s="9" t="str">
        <f t="shared" si="5"/>
        <v/>
      </c>
      <c r="BA9" s="9" t="str">
        <f t="shared" si="5"/>
        <v/>
      </c>
      <c r="BB9" s="9" t="str">
        <f t="shared" si="5"/>
        <v/>
      </c>
      <c r="BC9" s="9" t="str">
        <f t="shared" si="5"/>
        <v/>
      </c>
      <c r="BD9" s="9" t="str">
        <f t="shared" si="5"/>
        <v/>
      </c>
      <c r="BE9" s="18" t="str">
        <f t="shared" si="5"/>
        <v/>
      </c>
      <c r="BF9" s="18" t="str">
        <f t="shared" si="5"/>
        <v/>
      </c>
    </row>
    <row r="10" spans="1:58" ht="27.15" customHeight="1">
      <c r="A10" s="5">
        <v>5</v>
      </c>
      <c r="B10" s="11" t="s">
        <v>13</v>
      </c>
      <c r="C10" s="6" t="s">
        <v>34</v>
      </c>
      <c r="D10" s="6" t="s">
        <v>4</v>
      </c>
      <c r="E10" s="7">
        <v>46159</v>
      </c>
      <c r="F10" s="7">
        <v>46162</v>
      </c>
      <c r="G10" s="5">
        <v>4</v>
      </c>
      <c r="H10" s="5" t="s">
        <v>10</v>
      </c>
      <c r="I10" s="8">
        <v>1</v>
      </c>
      <c r="J10" s="5"/>
      <c r="K10" s="9" t="str">
        <f t="shared" si="2"/>
        <v/>
      </c>
      <c r="L10" s="9" t="str">
        <f t="shared" si="2"/>
        <v/>
      </c>
      <c r="M10" s="9" t="str">
        <f t="shared" si="2"/>
        <v/>
      </c>
      <c r="N10" s="9" t="str">
        <f t="shared" si="2"/>
        <v/>
      </c>
      <c r="O10" s="18" t="str">
        <f t="shared" si="2"/>
        <v/>
      </c>
      <c r="P10" s="18" t="str">
        <f t="shared" si="2"/>
        <v/>
      </c>
      <c r="Q10" s="9" t="str">
        <f t="shared" si="2"/>
        <v/>
      </c>
      <c r="R10" s="9" t="str">
        <f t="shared" si="2"/>
        <v/>
      </c>
      <c r="S10" s="9" t="str">
        <f t="shared" si="2"/>
        <v/>
      </c>
      <c r="T10" s="9" t="str">
        <f t="shared" si="2"/>
        <v/>
      </c>
      <c r="U10" s="9" t="str">
        <f t="shared" si="3"/>
        <v/>
      </c>
      <c r="V10" s="18" t="str">
        <f t="shared" si="3"/>
        <v/>
      </c>
      <c r="W10" s="18" t="str">
        <f t="shared" si="3"/>
        <v/>
      </c>
      <c r="X10" s="9" t="str">
        <f t="shared" si="3"/>
        <v/>
      </c>
      <c r="Y10" s="9" t="str">
        <f t="shared" si="3"/>
        <v/>
      </c>
      <c r="Z10" s="9" t="str">
        <f t="shared" si="3"/>
        <v/>
      </c>
      <c r="AA10" s="9" t="str">
        <f t="shared" si="3"/>
        <v/>
      </c>
      <c r="AB10" s="9" t="str">
        <f t="shared" si="3"/>
        <v/>
      </c>
      <c r="AC10" s="18" t="str">
        <f t="shared" si="3"/>
        <v/>
      </c>
      <c r="AD10" s="18" t="str">
        <f t="shared" si="3"/>
        <v/>
      </c>
      <c r="AE10" s="9" t="str">
        <f t="shared" si="4"/>
        <v/>
      </c>
      <c r="AF10" s="9" t="str">
        <f t="shared" si="4"/>
        <v/>
      </c>
      <c r="AG10" s="9" t="str">
        <f t="shared" si="4"/>
        <v/>
      </c>
      <c r="AH10" s="9" t="str">
        <f t="shared" si="4"/>
        <v/>
      </c>
      <c r="AI10" s="9" t="str">
        <f t="shared" si="4"/>
        <v/>
      </c>
      <c r="AJ10" s="18" t="str">
        <f t="shared" si="4"/>
        <v/>
      </c>
      <c r="AK10" s="18" t="str">
        <f t="shared" si="4"/>
        <v/>
      </c>
      <c r="AL10" s="9" t="str">
        <f t="shared" si="4"/>
        <v/>
      </c>
      <c r="AM10" s="9" t="str">
        <f t="shared" si="4"/>
        <v/>
      </c>
      <c r="AN10" s="9" t="str">
        <f t="shared" si="4"/>
        <v/>
      </c>
      <c r="AO10" s="9" t="str">
        <f t="shared" si="4"/>
        <v/>
      </c>
      <c r="AP10" s="9" t="str">
        <f t="shared" si="4"/>
        <v/>
      </c>
      <c r="AQ10" s="18" t="str">
        <f t="shared" si="6"/>
        <v/>
      </c>
      <c r="AR10" s="18" t="str">
        <f t="shared" si="6"/>
        <v/>
      </c>
      <c r="AS10" s="9" t="str">
        <f t="shared" si="6"/>
        <v/>
      </c>
      <c r="AT10" s="9" t="str">
        <f t="shared" si="5"/>
        <v/>
      </c>
      <c r="AU10" s="9" t="str">
        <f t="shared" si="5"/>
        <v/>
      </c>
      <c r="AV10" s="9" t="str">
        <f t="shared" si="5"/>
        <v/>
      </c>
      <c r="AW10" s="9" t="str">
        <f t="shared" si="5"/>
        <v/>
      </c>
      <c r="AX10" s="18" t="str">
        <f t="shared" si="5"/>
        <v/>
      </c>
      <c r="AY10" s="18" t="str">
        <f t="shared" si="5"/>
        <v/>
      </c>
      <c r="AZ10" s="9" t="str">
        <f t="shared" si="5"/>
        <v/>
      </c>
      <c r="BA10" s="9" t="str">
        <f t="shared" si="5"/>
        <v/>
      </c>
      <c r="BB10" s="9" t="str">
        <f t="shared" si="5"/>
        <v/>
      </c>
      <c r="BC10" s="9" t="str">
        <f t="shared" si="5"/>
        <v/>
      </c>
      <c r="BD10" s="9" t="str">
        <f t="shared" si="5"/>
        <v/>
      </c>
      <c r="BE10" s="18" t="str">
        <f t="shared" si="5"/>
        <v/>
      </c>
      <c r="BF10" s="18" t="str">
        <f t="shared" si="5"/>
        <v/>
      </c>
    </row>
    <row r="11" spans="1:58" ht="27.15" customHeight="1">
      <c r="A11" s="5">
        <v>6</v>
      </c>
      <c r="B11" s="11" t="s">
        <v>13</v>
      </c>
      <c r="C11" s="6" t="s">
        <v>35</v>
      </c>
      <c r="D11" s="6" t="s">
        <v>4</v>
      </c>
      <c r="E11" s="7">
        <v>46161</v>
      </c>
      <c r="F11" s="7">
        <v>46165</v>
      </c>
      <c r="G11" s="5">
        <v>5</v>
      </c>
      <c r="H11" s="5" t="s">
        <v>10</v>
      </c>
      <c r="I11" s="8">
        <v>1</v>
      </c>
      <c r="J11" s="5"/>
      <c r="K11" s="9" t="str">
        <f t="shared" si="2"/>
        <v/>
      </c>
      <c r="L11" s="9" t="str">
        <f t="shared" si="2"/>
        <v/>
      </c>
      <c r="M11" s="9" t="str">
        <f t="shared" si="2"/>
        <v/>
      </c>
      <c r="N11" s="9" t="str">
        <f t="shared" si="2"/>
        <v/>
      </c>
      <c r="O11" s="18" t="str">
        <f t="shared" si="2"/>
        <v/>
      </c>
      <c r="P11" s="18" t="str">
        <f t="shared" si="2"/>
        <v/>
      </c>
      <c r="Q11" s="9" t="str">
        <f t="shared" si="2"/>
        <v/>
      </c>
      <c r="R11" s="9" t="str">
        <f t="shared" si="2"/>
        <v/>
      </c>
      <c r="S11" s="9" t="str">
        <f t="shared" si="2"/>
        <v/>
      </c>
      <c r="T11" s="9" t="str">
        <f t="shared" si="2"/>
        <v/>
      </c>
      <c r="U11" s="9" t="str">
        <f t="shared" si="3"/>
        <v/>
      </c>
      <c r="V11" s="18" t="str">
        <f t="shared" si="3"/>
        <v/>
      </c>
      <c r="W11" s="18" t="str">
        <f t="shared" si="3"/>
        <v/>
      </c>
      <c r="X11" s="9" t="str">
        <f t="shared" si="3"/>
        <v/>
      </c>
      <c r="Y11" s="9" t="str">
        <f t="shared" si="3"/>
        <v/>
      </c>
      <c r="Z11" s="9" t="str">
        <f t="shared" si="3"/>
        <v/>
      </c>
      <c r="AA11" s="9" t="str">
        <f t="shared" si="3"/>
        <v/>
      </c>
      <c r="AB11" s="9" t="str">
        <f t="shared" si="3"/>
        <v/>
      </c>
      <c r="AC11" s="18" t="str">
        <f t="shared" si="3"/>
        <v/>
      </c>
      <c r="AD11" s="18" t="str">
        <f t="shared" si="3"/>
        <v/>
      </c>
      <c r="AE11" s="9" t="str">
        <f t="shared" si="4"/>
        <v/>
      </c>
      <c r="AF11" s="9" t="str">
        <f t="shared" si="4"/>
        <v/>
      </c>
      <c r="AG11" s="9" t="str">
        <f t="shared" si="4"/>
        <v/>
      </c>
      <c r="AH11" s="9" t="str">
        <f t="shared" si="4"/>
        <v/>
      </c>
      <c r="AI11" s="9" t="str">
        <f t="shared" si="4"/>
        <v/>
      </c>
      <c r="AJ11" s="18" t="str">
        <f t="shared" si="4"/>
        <v/>
      </c>
      <c r="AK11" s="18" t="str">
        <f t="shared" si="4"/>
        <v/>
      </c>
      <c r="AL11" s="9" t="str">
        <f t="shared" si="4"/>
        <v/>
      </c>
      <c r="AM11" s="9" t="str">
        <f t="shared" si="4"/>
        <v/>
      </c>
      <c r="AN11" s="9" t="str">
        <f t="shared" si="4"/>
        <v/>
      </c>
      <c r="AO11" s="9" t="str">
        <f t="shared" si="4"/>
        <v/>
      </c>
      <c r="AP11" s="9" t="str">
        <f t="shared" si="4"/>
        <v/>
      </c>
      <c r="AQ11" s="18" t="str">
        <f t="shared" si="6"/>
        <v/>
      </c>
      <c r="AR11" s="18" t="str">
        <f t="shared" si="6"/>
        <v/>
      </c>
      <c r="AS11" s="9" t="str">
        <f t="shared" si="6"/>
        <v/>
      </c>
      <c r="AT11" s="9" t="str">
        <f t="shared" si="5"/>
        <v/>
      </c>
      <c r="AU11" s="9" t="str">
        <f t="shared" si="5"/>
        <v/>
      </c>
      <c r="AV11" s="9" t="str">
        <f t="shared" si="5"/>
        <v/>
      </c>
      <c r="AW11" s="9" t="str">
        <f t="shared" si="5"/>
        <v/>
      </c>
      <c r="AX11" s="18" t="str">
        <f t="shared" si="5"/>
        <v/>
      </c>
      <c r="AY11" s="18" t="str">
        <f t="shared" si="5"/>
        <v/>
      </c>
      <c r="AZ11" s="9" t="str">
        <f t="shared" si="5"/>
        <v/>
      </c>
      <c r="BA11" s="9" t="str">
        <f t="shared" si="5"/>
        <v/>
      </c>
      <c r="BB11" s="9" t="str">
        <f t="shared" si="5"/>
        <v/>
      </c>
      <c r="BC11" s="9" t="str">
        <f t="shared" si="5"/>
        <v/>
      </c>
      <c r="BD11" s="9" t="str">
        <f t="shared" si="5"/>
        <v/>
      </c>
      <c r="BE11" s="18" t="str">
        <f t="shared" si="5"/>
        <v/>
      </c>
      <c r="BF11" s="18" t="str">
        <f t="shared" si="5"/>
        <v/>
      </c>
    </row>
    <row r="12" spans="1:58" ht="27.15" customHeight="1">
      <c r="A12" s="5">
        <v>7</v>
      </c>
      <c r="B12" s="12" t="s">
        <v>17</v>
      </c>
      <c r="C12" s="6" t="s">
        <v>36</v>
      </c>
      <c r="D12" s="6" t="s">
        <v>14</v>
      </c>
      <c r="E12" s="7">
        <v>46162</v>
      </c>
      <c r="F12" s="7">
        <v>46164</v>
      </c>
      <c r="G12" s="5">
        <v>3</v>
      </c>
      <c r="H12" s="5" t="s">
        <v>10</v>
      </c>
      <c r="I12" s="8">
        <v>1</v>
      </c>
      <c r="J12" s="5"/>
      <c r="K12" s="9" t="str">
        <f t="shared" si="2"/>
        <v/>
      </c>
      <c r="L12" s="9" t="str">
        <f t="shared" si="2"/>
        <v/>
      </c>
      <c r="M12" s="9" t="str">
        <f t="shared" si="2"/>
        <v/>
      </c>
      <c r="N12" s="9" t="str">
        <f t="shared" si="2"/>
        <v/>
      </c>
      <c r="O12" s="18" t="str">
        <f t="shared" si="2"/>
        <v/>
      </c>
      <c r="P12" s="18" t="str">
        <f t="shared" si="2"/>
        <v/>
      </c>
      <c r="Q12" s="9" t="str">
        <f t="shared" si="2"/>
        <v/>
      </c>
      <c r="R12" s="9" t="str">
        <f t="shared" si="2"/>
        <v/>
      </c>
      <c r="S12" s="9" t="str">
        <f t="shared" si="2"/>
        <v/>
      </c>
      <c r="T12" s="9" t="str">
        <f t="shared" si="2"/>
        <v/>
      </c>
      <c r="U12" s="9" t="str">
        <f t="shared" si="3"/>
        <v/>
      </c>
      <c r="V12" s="18" t="str">
        <f t="shared" si="3"/>
        <v/>
      </c>
      <c r="W12" s="18" t="str">
        <f t="shared" si="3"/>
        <v/>
      </c>
      <c r="X12" s="9" t="str">
        <f t="shared" si="3"/>
        <v/>
      </c>
      <c r="Y12" s="9" t="str">
        <f t="shared" si="3"/>
        <v/>
      </c>
      <c r="Z12" s="9" t="str">
        <f t="shared" si="3"/>
        <v/>
      </c>
      <c r="AA12" s="9" t="str">
        <f t="shared" si="3"/>
        <v/>
      </c>
      <c r="AB12" s="9" t="str">
        <f t="shared" si="3"/>
        <v/>
      </c>
      <c r="AC12" s="18" t="str">
        <f t="shared" si="3"/>
        <v/>
      </c>
      <c r="AD12" s="18" t="str">
        <f t="shared" si="3"/>
        <v/>
      </c>
      <c r="AE12" s="9" t="str">
        <f t="shared" si="4"/>
        <v/>
      </c>
      <c r="AF12" s="9" t="str">
        <f t="shared" si="4"/>
        <v/>
      </c>
      <c r="AG12" s="9" t="str">
        <f t="shared" si="4"/>
        <v/>
      </c>
      <c r="AH12" s="9" t="str">
        <f t="shared" si="4"/>
        <v/>
      </c>
      <c r="AI12" s="9" t="str">
        <f t="shared" si="4"/>
        <v/>
      </c>
      <c r="AJ12" s="18" t="str">
        <f t="shared" si="4"/>
        <v/>
      </c>
      <c r="AK12" s="18" t="str">
        <f t="shared" si="4"/>
        <v/>
      </c>
      <c r="AL12" s="9" t="str">
        <f t="shared" si="4"/>
        <v/>
      </c>
      <c r="AM12" s="9" t="str">
        <f t="shared" si="4"/>
        <v/>
      </c>
      <c r="AN12" s="9" t="str">
        <f t="shared" si="4"/>
        <v/>
      </c>
      <c r="AO12" s="9" t="str">
        <f t="shared" si="4"/>
        <v/>
      </c>
      <c r="AP12" s="9" t="str">
        <f t="shared" si="4"/>
        <v/>
      </c>
      <c r="AQ12" s="18" t="str">
        <f t="shared" si="6"/>
        <v/>
      </c>
      <c r="AR12" s="18" t="str">
        <f t="shared" si="6"/>
        <v/>
      </c>
      <c r="AS12" s="9" t="str">
        <f t="shared" si="6"/>
        <v/>
      </c>
      <c r="AT12" s="9" t="str">
        <f t="shared" si="5"/>
        <v/>
      </c>
      <c r="AU12" s="9" t="str">
        <f t="shared" si="5"/>
        <v/>
      </c>
      <c r="AV12" s="9" t="str">
        <f t="shared" si="5"/>
        <v/>
      </c>
      <c r="AW12" s="9" t="str">
        <f t="shared" si="5"/>
        <v/>
      </c>
      <c r="AX12" s="18" t="str">
        <f t="shared" si="5"/>
        <v/>
      </c>
      <c r="AY12" s="18" t="str">
        <f t="shared" si="5"/>
        <v/>
      </c>
      <c r="AZ12" s="9" t="str">
        <f t="shared" si="5"/>
        <v/>
      </c>
      <c r="BA12" s="9" t="str">
        <f t="shared" si="5"/>
        <v/>
      </c>
      <c r="BB12" s="9" t="str">
        <f t="shared" si="5"/>
        <v/>
      </c>
      <c r="BC12" s="9" t="str">
        <f t="shared" si="5"/>
        <v/>
      </c>
      <c r="BD12" s="9" t="str">
        <f t="shared" si="5"/>
        <v/>
      </c>
      <c r="BE12" s="18" t="str">
        <f t="shared" si="5"/>
        <v/>
      </c>
      <c r="BF12" s="18" t="str">
        <f t="shared" si="5"/>
        <v/>
      </c>
    </row>
    <row r="13" spans="1:58" ht="27.15" customHeight="1">
      <c r="A13" s="5">
        <v>8</v>
      </c>
      <c r="B13" s="12" t="s">
        <v>17</v>
      </c>
      <c r="C13" s="6" t="s">
        <v>37</v>
      </c>
      <c r="D13" s="6" t="s">
        <v>14</v>
      </c>
      <c r="E13" s="7">
        <v>46163</v>
      </c>
      <c r="F13" s="7">
        <v>46167</v>
      </c>
      <c r="G13" s="5">
        <v>5</v>
      </c>
      <c r="H13" s="5" t="s">
        <v>10</v>
      </c>
      <c r="I13" s="8">
        <v>1</v>
      </c>
      <c r="J13" s="5"/>
      <c r="K13" s="9" t="str">
        <f t="shared" si="2"/>
        <v/>
      </c>
      <c r="L13" s="9" t="str">
        <f t="shared" si="2"/>
        <v/>
      </c>
      <c r="M13" s="9" t="str">
        <f t="shared" si="2"/>
        <v/>
      </c>
      <c r="N13" s="9" t="str">
        <f t="shared" si="2"/>
        <v/>
      </c>
      <c r="O13" s="18" t="str">
        <f t="shared" si="2"/>
        <v/>
      </c>
      <c r="P13" s="18" t="str">
        <f t="shared" si="2"/>
        <v/>
      </c>
      <c r="Q13" s="9" t="str">
        <f t="shared" si="2"/>
        <v/>
      </c>
      <c r="R13" s="9" t="str">
        <f t="shared" si="2"/>
        <v/>
      </c>
      <c r="S13" s="9" t="str">
        <f t="shared" si="2"/>
        <v/>
      </c>
      <c r="T13" s="9" t="str">
        <f t="shared" si="2"/>
        <v/>
      </c>
      <c r="U13" s="9" t="str">
        <f t="shared" si="3"/>
        <v/>
      </c>
      <c r="V13" s="18" t="str">
        <f t="shared" si="3"/>
        <v/>
      </c>
      <c r="W13" s="18" t="str">
        <f t="shared" si="3"/>
        <v/>
      </c>
      <c r="X13" s="9" t="str">
        <f t="shared" si="3"/>
        <v/>
      </c>
      <c r="Y13" s="9" t="str">
        <f t="shared" si="3"/>
        <v/>
      </c>
      <c r="Z13" s="9" t="str">
        <f t="shared" si="3"/>
        <v/>
      </c>
      <c r="AA13" s="9" t="str">
        <f t="shared" si="3"/>
        <v/>
      </c>
      <c r="AB13" s="9" t="str">
        <f t="shared" si="3"/>
        <v/>
      </c>
      <c r="AC13" s="18" t="str">
        <f t="shared" si="3"/>
        <v/>
      </c>
      <c r="AD13" s="18" t="str">
        <f t="shared" si="3"/>
        <v/>
      </c>
      <c r="AE13" s="9" t="str">
        <f t="shared" si="4"/>
        <v/>
      </c>
      <c r="AF13" s="9" t="str">
        <f t="shared" si="4"/>
        <v/>
      </c>
      <c r="AG13" s="9" t="str">
        <f t="shared" si="4"/>
        <v/>
      </c>
      <c r="AH13" s="9" t="str">
        <f t="shared" si="4"/>
        <v/>
      </c>
      <c r="AI13" s="9" t="str">
        <f t="shared" si="4"/>
        <v/>
      </c>
      <c r="AJ13" s="18" t="str">
        <f t="shared" si="4"/>
        <v/>
      </c>
      <c r="AK13" s="18" t="str">
        <f t="shared" si="4"/>
        <v/>
      </c>
      <c r="AL13" s="9" t="str">
        <f t="shared" si="4"/>
        <v/>
      </c>
      <c r="AM13" s="9" t="str">
        <f t="shared" si="4"/>
        <v/>
      </c>
      <c r="AN13" s="9" t="str">
        <f t="shared" si="4"/>
        <v/>
      </c>
      <c r="AO13" s="9" t="str">
        <f t="shared" si="4"/>
        <v/>
      </c>
      <c r="AP13" s="9" t="str">
        <f t="shared" si="4"/>
        <v/>
      </c>
      <c r="AQ13" s="18" t="str">
        <f t="shared" si="6"/>
        <v/>
      </c>
      <c r="AR13" s="18" t="str">
        <f t="shared" si="6"/>
        <v/>
      </c>
      <c r="AS13" s="9" t="str">
        <f t="shared" si="6"/>
        <v/>
      </c>
      <c r="AT13" s="9" t="str">
        <f t="shared" si="5"/>
        <v/>
      </c>
      <c r="AU13" s="9" t="str">
        <f t="shared" si="5"/>
        <v/>
      </c>
      <c r="AV13" s="9" t="str">
        <f t="shared" si="5"/>
        <v/>
      </c>
      <c r="AW13" s="9" t="str">
        <f t="shared" si="5"/>
        <v/>
      </c>
      <c r="AX13" s="18" t="str">
        <f t="shared" si="5"/>
        <v/>
      </c>
      <c r="AY13" s="18" t="str">
        <f t="shared" si="5"/>
        <v/>
      </c>
      <c r="AZ13" s="9" t="str">
        <f t="shared" si="5"/>
        <v/>
      </c>
      <c r="BA13" s="9" t="str">
        <f t="shared" si="5"/>
        <v/>
      </c>
      <c r="BB13" s="9" t="str">
        <f t="shared" si="5"/>
        <v/>
      </c>
      <c r="BC13" s="9" t="str">
        <f t="shared" si="5"/>
        <v/>
      </c>
      <c r="BD13" s="9" t="str">
        <f t="shared" si="5"/>
        <v/>
      </c>
      <c r="BE13" s="18" t="str">
        <f t="shared" si="5"/>
        <v/>
      </c>
      <c r="BF13" s="18" t="str">
        <f t="shared" si="5"/>
        <v/>
      </c>
    </row>
    <row r="14" spans="1:58" ht="27.15" customHeight="1">
      <c r="A14" s="5">
        <v>9</v>
      </c>
      <c r="B14" s="12" t="s">
        <v>17</v>
      </c>
      <c r="C14" s="6" t="s">
        <v>38</v>
      </c>
      <c r="D14" s="6" t="s">
        <v>14</v>
      </c>
      <c r="E14" s="7">
        <v>46166</v>
      </c>
      <c r="F14" s="7">
        <v>46169</v>
      </c>
      <c r="G14" s="5">
        <v>4</v>
      </c>
      <c r="H14" s="5" t="s">
        <v>10</v>
      </c>
      <c r="I14" s="8">
        <v>1</v>
      </c>
      <c r="J14" s="5"/>
      <c r="K14" s="9" t="str">
        <f t="shared" si="2"/>
        <v/>
      </c>
      <c r="L14" s="9" t="str">
        <f t="shared" si="2"/>
        <v/>
      </c>
      <c r="M14" s="9" t="str">
        <f t="shared" si="2"/>
        <v/>
      </c>
      <c r="N14" s="9" t="str">
        <f t="shared" si="2"/>
        <v/>
      </c>
      <c r="O14" s="18" t="str">
        <f t="shared" si="2"/>
        <v/>
      </c>
      <c r="P14" s="18" t="str">
        <f t="shared" si="2"/>
        <v/>
      </c>
      <c r="Q14" s="9" t="str">
        <f t="shared" si="2"/>
        <v/>
      </c>
      <c r="R14" s="9" t="str">
        <f t="shared" si="2"/>
        <v/>
      </c>
      <c r="S14" s="9" t="str">
        <f t="shared" si="2"/>
        <v/>
      </c>
      <c r="T14" s="9" t="str">
        <f t="shared" si="2"/>
        <v/>
      </c>
      <c r="U14" s="9" t="str">
        <f t="shared" si="3"/>
        <v/>
      </c>
      <c r="V14" s="18" t="str">
        <f t="shared" si="3"/>
        <v/>
      </c>
      <c r="W14" s="18" t="str">
        <f t="shared" si="3"/>
        <v/>
      </c>
      <c r="X14" s="9" t="str">
        <f t="shared" si="3"/>
        <v/>
      </c>
      <c r="Y14" s="9" t="str">
        <f t="shared" si="3"/>
        <v/>
      </c>
      <c r="Z14" s="9" t="str">
        <f t="shared" si="3"/>
        <v/>
      </c>
      <c r="AA14" s="9" t="str">
        <f t="shared" si="3"/>
        <v/>
      </c>
      <c r="AB14" s="9" t="str">
        <f t="shared" si="3"/>
        <v/>
      </c>
      <c r="AC14" s="18" t="str">
        <f t="shared" si="3"/>
        <v/>
      </c>
      <c r="AD14" s="18" t="str">
        <f t="shared" si="3"/>
        <v/>
      </c>
      <c r="AE14" s="9" t="str">
        <f t="shared" si="4"/>
        <v/>
      </c>
      <c r="AF14" s="9" t="str">
        <f t="shared" si="4"/>
        <v/>
      </c>
      <c r="AG14" s="9" t="str">
        <f t="shared" si="4"/>
        <v/>
      </c>
      <c r="AH14" s="9" t="str">
        <f t="shared" si="4"/>
        <v/>
      </c>
      <c r="AI14" s="9" t="str">
        <f t="shared" si="4"/>
        <v/>
      </c>
      <c r="AJ14" s="18" t="str">
        <f t="shared" si="4"/>
        <v/>
      </c>
      <c r="AK14" s="18" t="str">
        <f t="shared" si="4"/>
        <v/>
      </c>
      <c r="AL14" s="9" t="str">
        <f t="shared" si="4"/>
        <v/>
      </c>
      <c r="AM14" s="9" t="str">
        <f t="shared" si="4"/>
        <v/>
      </c>
      <c r="AN14" s="9" t="str">
        <f t="shared" si="4"/>
        <v/>
      </c>
      <c r="AO14" s="9" t="str">
        <f t="shared" si="4"/>
        <v/>
      </c>
      <c r="AP14" s="9" t="str">
        <f t="shared" si="4"/>
        <v/>
      </c>
      <c r="AQ14" s="18" t="str">
        <f t="shared" si="6"/>
        <v/>
      </c>
      <c r="AR14" s="18" t="str">
        <f t="shared" si="6"/>
        <v/>
      </c>
      <c r="AS14" s="9" t="str">
        <f t="shared" si="6"/>
        <v/>
      </c>
      <c r="AT14" s="9" t="str">
        <f t="shared" si="5"/>
        <v/>
      </c>
      <c r="AU14" s="9" t="str">
        <f t="shared" si="5"/>
        <v/>
      </c>
      <c r="AV14" s="9" t="str">
        <f t="shared" si="5"/>
        <v/>
      </c>
      <c r="AW14" s="9" t="str">
        <f t="shared" si="5"/>
        <v/>
      </c>
      <c r="AX14" s="18" t="str">
        <f t="shared" si="5"/>
        <v/>
      </c>
      <c r="AY14" s="18" t="str">
        <f t="shared" si="5"/>
        <v/>
      </c>
      <c r="AZ14" s="9" t="str">
        <f t="shared" si="5"/>
        <v/>
      </c>
      <c r="BA14" s="9" t="str">
        <f t="shared" si="5"/>
        <v/>
      </c>
      <c r="BB14" s="9" t="str">
        <f t="shared" si="5"/>
        <v/>
      </c>
      <c r="BC14" s="9" t="str">
        <f t="shared" si="5"/>
        <v/>
      </c>
      <c r="BD14" s="9" t="str">
        <f t="shared" si="5"/>
        <v/>
      </c>
      <c r="BE14" s="18" t="str">
        <f t="shared" si="5"/>
        <v/>
      </c>
      <c r="BF14" s="18" t="str">
        <f t="shared" si="5"/>
        <v/>
      </c>
    </row>
    <row r="15" spans="1:58" ht="27.15" customHeight="1">
      <c r="A15" s="5">
        <v>10</v>
      </c>
      <c r="B15" s="12" t="s">
        <v>17</v>
      </c>
      <c r="C15" s="6" t="s">
        <v>39</v>
      </c>
      <c r="D15" s="6" t="s">
        <v>8</v>
      </c>
      <c r="E15" s="7">
        <v>46167</v>
      </c>
      <c r="F15" s="7">
        <v>46174</v>
      </c>
      <c r="G15" s="5">
        <v>8</v>
      </c>
      <c r="H15" s="5" t="s">
        <v>10</v>
      </c>
      <c r="I15" s="8">
        <v>1</v>
      </c>
      <c r="J15" s="5"/>
      <c r="K15" s="9" t="str">
        <f t="shared" si="2"/>
        <v/>
      </c>
      <c r="L15" s="9" t="str">
        <f t="shared" si="2"/>
        <v/>
      </c>
      <c r="M15" s="9" t="str">
        <f t="shared" si="2"/>
        <v/>
      </c>
      <c r="N15" s="9" t="str">
        <f t="shared" si="2"/>
        <v/>
      </c>
      <c r="O15" s="18" t="str">
        <f t="shared" si="2"/>
        <v/>
      </c>
      <c r="P15" s="18" t="str">
        <f t="shared" si="2"/>
        <v/>
      </c>
      <c r="Q15" s="9" t="str">
        <f t="shared" si="2"/>
        <v/>
      </c>
      <c r="R15" s="9" t="str">
        <f t="shared" si="2"/>
        <v/>
      </c>
      <c r="S15" s="9" t="str">
        <f t="shared" si="2"/>
        <v/>
      </c>
      <c r="T15" s="9" t="str">
        <f t="shared" si="2"/>
        <v/>
      </c>
      <c r="U15" s="9" t="str">
        <f t="shared" si="3"/>
        <v/>
      </c>
      <c r="V15" s="18" t="str">
        <f t="shared" si="3"/>
        <v/>
      </c>
      <c r="W15" s="18" t="str">
        <f t="shared" si="3"/>
        <v/>
      </c>
      <c r="X15" s="9" t="str">
        <f t="shared" si="3"/>
        <v/>
      </c>
      <c r="Y15" s="9" t="str">
        <f t="shared" si="3"/>
        <v/>
      </c>
      <c r="Z15" s="9" t="str">
        <f t="shared" si="3"/>
        <v/>
      </c>
      <c r="AA15" s="9" t="str">
        <f t="shared" si="3"/>
        <v/>
      </c>
      <c r="AB15" s="9" t="str">
        <f t="shared" si="3"/>
        <v/>
      </c>
      <c r="AC15" s="18" t="str">
        <f t="shared" si="3"/>
        <v/>
      </c>
      <c r="AD15" s="18" t="str">
        <f t="shared" si="3"/>
        <v/>
      </c>
      <c r="AE15" s="9" t="str">
        <f t="shared" si="4"/>
        <v/>
      </c>
      <c r="AF15" s="9" t="str">
        <f t="shared" si="4"/>
        <v/>
      </c>
      <c r="AG15" s="9" t="str">
        <f t="shared" si="4"/>
        <v/>
      </c>
      <c r="AH15" s="9" t="str">
        <f t="shared" si="4"/>
        <v/>
      </c>
      <c r="AI15" s="9" t="str">
        <f t="shared" si="4"/>
        <v/>
      </c>
      <c r="AJ15" s="18" t="str">
        <f t="shared" si="4"/>
        <v/>
      </c>
      <c r="AK15" s="18" t="str">
        <f t="shared" si="4"/>
        <v/>
      </c>
      <c r="AL15" s="9" t="str">
        <f t="shared" si="4"/>
        <v/>
      </c>
      <c r="AM15" s="9" t="str">
        <f t="shared" si="4"/>
        <v/>
      </c>
      <c r="AN15" s="9" t="str">
        <f t="shared" si="4"/>
        <v/>
      </c>
      <c r="AO15" s="9" t="str">
        <f t="shared" si="4"/>
        <v/>
      </c>
      <c r="AP15" s="9" t="str">
        <f t="shared" si="4"/>
        <v/>
      </c>
      <c r="AQ15" s="18" t="str">
        <f t="shared" si="6"/>
        <v/>
      </c>
      <c r="AR15" s="18" t="str">
        <f t="shared" si="6"/>
        <v/>
      </c>
      <c r="AS15" s="9" t="str">
        <f t="shared" si="6"/>
        <v/>
      </c>
      <c r="AT15" s="9" t="str">
        <f t="shared" si="5"/>
        <v/>
      </c>
      <c r="AU15" s="9" t="str">
        <f t="shared" si="5"/>
        <v/>
      </c>
      <c r="AV15" s="9" t="str">
        <f t="shared" si="5"/>
        <v/>
      </c>
      <c r="AW15" s="9" t="str">
        <f t="shared" si="5"/>
        <v/>
      </c>
      <c r="AX15" s="18" t="str">
        <f t="shared" si="5"/>
        <v/>
      </c>
      <c r="AY15" s="18" t="str">
        <f t="shared" si="5"/>
        <v/>
      </c>
      <c r="AZ15" s="9" t="str">
        <f t="shared" si="5"/>
        <v/>
      </c>
      <c r="BA15" s="9" t="str">
        <f t="shared" si="5"/>
        <v/>
      </c>
      <c r="BB15" s="9" t="str">
        <f t="shared" si="5"/>
        <v/>
      </c>
      <c r="BC15" s="9" t="str">
        <f t="shared" si="5"/>
        <v/>
      </c>
      <c r="BD15" s="9" t="str">
        <f t="shared" si="5"/>
        <v/>
      </c>
      <c r="BE15" s="18" t="str">
        <f t="shared" si="5"/>
        <v/>
      </c>
      <c r="BF15" s="18" t="str">
        <f t="shared" si="5"/>
        <v/>
      </c>
    </row>
    <row r="16" spans="1:58" ht="27.15" customHeight="1">
      <c r="A16" s="5">
        <v>11</v>
      </c>
      <c r="B16" s="12" t="s">
        <v>17</v>
      </c>
      <c r="C16" s="6" t="s">
        <v>40</v>
      </c>
      <c r="D16" s="6" t="s">
        <v>4</v>
      </c>
      <c r="E16" s="7">
        <v>46172</v>
      </c>
      <c r="F16" s="7">
        <v>46176</v>
      </c>
      <c r="G16" s="5">
        <v>5</v>
      </c>
      <c r="H16" s="5" t="s">
        <v>10</v>
      </c>
      <c r="I16" s="8">
        <v>1</v>
      </c>
      <c r="J16" s="5" t="s">
        <v>32</v>
      </c>
      <c r="K16" s="9" t="str">
        <f t="shared" si="2"/>
        <v/>
      </c>
      <c r="L16" s="9" t="str">
        <f t="shared" si="2"/>
        <v/>
      </c>
      <c r="M16" s="9" t="str">
        <f t="shared" si="2"/>
        <v/>
      </c>
      <c r="N16" s="9" t="str">
        <f t="shared" si="2"/>
        <v/>
      </c>
      <c r="O16" s="18" t="str">
        <f t="shared" si="2"/>
        <v/>
      </c>
      <c r="P16" s="18" t="str">
        <f t="shared" si="2"/>
        <v/>
      </c>
      <c r="Q16" s="9" t="str">
        <f t="shared" si="2"/>
        <v/>
      </c>
      <c r="R16" s="9" t="str">
        <f t="shared" si="2"/>
        <v/>
      </c>
      <c r="S16" s="9" t="str">
        <f t="shared" si="2"/>
        <v/>
      </c>
      <c r="T16" s="9" t="str">
        <f t="shared" si="2"/>
        <v/>
      </c>
      <c r="U16" s="9" t="str">
        <f t="shared" si="3"/>
        <v/>
      </c>
      <c r="V16" s="18" t="str">
        <f t="shared" si="3"/>
        <v/>
      </c>
      <c r="W16" s="18" t="str">
        <f t="shared" si="3"/>
        <v/>
      </c>
      <c r="X16" s="9" t="str">
        <f t="shared" si="3"/>
        <v/>
      </c>
      <c r="Y16" s="9" t="str">
        <f t="shared" si="3"/>
        <v/>
      </c>
      <c r="Z16" s="9" t="str">
        <f t="shared" si="3"/>
        <v/>
      </c>
      <c r="AA16" s="9" t="str">
        <f t="shared" si="3"/>
        <v/>
      </c>
      <c r="AB16" s="9" t="str">
        <f t="shared" si="3"/>
        <v/>
      </c>
      <c r="AC16" s="18" t="str">
        <f t="shared" si="3"/>
        <v>◆</v>
      </c>
      <c r="AD16" s="18" t="str">
        <f t="shared" si="3"/>
        <v>◆</v>
      </c>
      <c r="AE16" s="9" t="str">
        <f t="shared" si="4"/>
        <v>◆</v>
      </c>
      <c r="AF16" s="9" t="str">
        <f t="shared" si="4"/>
        <v>◆</v>
      </c>
      <c r="AG16" s="9" t="str">
        <f t="shared" si="4"/>
        <v>◆</v>
      </c>
      <c r="AH16" s="9" t="str">
        <f t="shared" si="4"/>
        <v/>
      </c>
      <c r="AI16" s="9" t="str">
        <f t="shared" si="4"/>
        <v/>
      </c>
      <c r="AJ16" s="18" t="str">
        <f t="shared" si="4"/>
        <v/>
      </c>
      <c r="AK16" s="18" t="str">
        <f t="shared" si="4"/>
        <v/>
      </c>
      <c r="AL16" s="9" t="str">
        <f t="shared" si="4"/>
        <v/>
      </c>
      <c r="AM16" s="9" t="str">
        <f t="shared" si="4"/>
        <v/>
      </c>
      <c r="AN16" s="9" t="str">
        <f t="shared" si="4"/>
        <v/>
      </c>
      <c r="AO16" s="9" t="str">
        <f t="shared" si="4"/>
        <v/>
      </c>
      <c r="AP16" s="9" t="str">
        <f t="shared" si="4"/>
        <v/>
      </c>
      <c r="AQ16" s="18" t="str">
        <f t="shared" si="6"/>
        <v/>
      </c>
      <c r="AR16" s="18" t="str">
        <f t="shared" si="6"/>
        <v/>
      </c>
      <c r="AS16" s="9" t="str">
        <f t="shared" si="6"/>
        <v/>
      </c>
      <c r="AT16" s="9" t="str">
        <f t="shared" si="5"/>
        <v/>
      </c>
      <c r="AU16" s="9" t="str">
        <f t="shared" si="5"/>
        <v/>
      </c>
      <c r="AV16" s="9" t="str">
        <f t="shared" si="5"/>
        <v/>
      </c>
      <c r="AW16" s="9" t="str">
        <f t="shared" si="5"/>
        <v/>
      </c>
      <c r="AX16" s="18" t="str">
        <f t="shared" si="5"/>
        <v/>
      </c>
      <c r="AY16" s="18" t="str">
        <f t="shared" si="5"/>
        <v/>
      </c>
      <c r="AZ16" s="9" t="str">
        <f t="shared" si="5"/>
        <v/>
      </c>
      <c r="BA16" s="9" t="str">
        <f t="shared" si="5"/>
        <v/>
      </c>
      <c r="BB16" s="9" t="str">
        <f t="shared" si="5"/>
        <v/>
      </c>
      <c r="BC16" s="9" t="str">
        <f t="shared" si="5"/>
        <v/>
      </c>
      <c r="BD16" s="9" t="str">
        <f t="shared" si="5"/>
        <v/>
      </c>
      <c r="BE16" s="18" t="str">
        <f t="shared" si="5"/>
        <v/>
      </c>
      <c r="BF16" s="18" t="str">
        <f t="shared" si="5"/>
        <v/>
      </c>
    </row>
    <row r="17" spans="1:58" ht="27.15" customHeight="1">
      <c r="A17" s="5">
        <v>12</v>
      </c>
      <c r="B17" s="12" t="s">
        <v>17</v>
      </c>
      <c r="C17" s="6" t="s">
        <v>41</v>
      </c>
      <c r="D17" s="6" t="s">
        <v>4</v>
      </c>
      <c r="E17" s="7">
        <v>46175</v>
      </c>
      <c r="F17" s="7">
        <v>46177</v>
      </c>
      <c r="G17" s="5">
        <v>3</v>
      </c>
      <c r="H17" s="5" t="s">
        <v>10</v>
      </c>
      <c r="I17" s="8">
        <v>1</v>
      </c>
      <c r="J17" s="5"/>
      <c r="K17" s="9" t="str">
        <f t="shared" ref="K17:T26" si="7">IF(AND(K$4&gt;=$E17,K$4&lt;=$F17),IF($J17="TAK","◆",""),"")</f>
        <v/>
      </c>
      <c r="L17" s="9" t="str">
        <f t="shared" si="7"/>
        <v/>
      </c>
      <c r="M17" s="9" t="str">
        <f t="shared" si="7"/>
        <v/>
      </c>
      <c r="N17" s="9" t="str">
        <f t="shared" si="7"/>
        <v/>
      </c>
      <c r="O17" s="18" t="str">
        <f t="shared" si="7"/>
        <v/>
      </c>
      <c r="P17" s="18" t="str">
        <f t="shared" si="7"/>
        <v/>
      </c>
      <c r="Q17" s="9" t="str">
        <f t="shared" si="7"/>
        <v/>
      </c>
      <c r="R17" s="9" t="str">
        <f t="shared" si="7"/>
        <v/>
      </c>
      <c r="S17" s="9" t="str">
        <f t="shared" si="7"/>
        <v/>
      </c>
      <c r="T17" s="9" t="str">
        <f t="shared" si="7"/>
        <v/>
      </c>
      <c r="U17" s="9" t="str">
        <f t="shared" ref="U17:AD26" si="8">IF(AND(U$4&gt;=$E17,U$4&lt;=$F17),IF($J17="TAK","◆",""),"")</f>
        <v/>
      </c>
      <c r="V17" s="18" t="str">
        <f t="shared" si="8"/>
        <v/>
      </c>
      <c r="W17" s="18" t="str">
        <f t="shared" si="8"/>
        <v/>
      </c>
      <c r="X17" s="9" t="str">
        <f t="shared" si="8"/>
        <v/>
      </c>
      <c r="Y17" s="9" t="str">
        <f t="shared" si="8"/>
        <v/>
      </c>
      <c r="Z17" s="9" t="str">
        <f t="shared" si="8"/>
        <v/>
      </c>
      <c r="AA17" s="9" t="str">
        <f t="shared" si="8"/>
        <v/>
      </c>
      <c r="AB17" s="9" t="str">
        <f t="shared" si="8"/>
        <v/>
      </c>
      <c r="AC17" s="18" t="str">
        <f t="shared" si="8"/>
        <v/>
      </c>
      <c r="AD17" s="18" t="str">
        <f t="shared" si="8"/>
        <v/>
      </c>
      <c r="AE17" s="9" t="str">
        <f t="shared" ref="AE17:AP26" si="9">IF(AND(AE$4&gt;=$E17,AE$4&lt;=$F17),IF($J17="TAK","◆",""),"")</f>
        <v/>
      </c>
      <c r="AF17" s="9" t="str">
        <f t="shared" si="9"/>
        <v/>
      </c>
      <c r="AG17" s="9" t="str">
        <f t="shared" si="9"/>
        <v/>
      </c>
      <c r="AH17" s="9" t="str">
        <f t="shared" si="9"/>
        <v/>
      </c>
      <c r="AI17" s="9" t="str">
        <f t="shared" si="9"/>
        <v/>
      </c>
      <c r="AJ17" s="18" t="str">
        <f t="shared" si="9"/>
        <v/>
      </c>
      <c r="AK17" s="18" t="str">
        <f t="shared" si="9"/>
        <v/>
      </c>
      <c r="AL17" s="9" t="str">
        <f t="shared" si="9"/>
        <v/>
      </c>
      <c r="AM17" s="9" t="str">
        <f t="shared" si="9"/>
        <v/>
      </c>
      <c r="AN17" s="9" t="str">
        <f t="shared" si="9"/>
        <v/>
      </c>
      <c r="AO17" s="9" t="str">
        <f t="shared" si="9"/>
        <v/>
      </c>
      <c r="AP17" s="9" t="str">
        <f t="shared" si="9"/>
        <v/>
      </c>
      <c r="AQ17" s="18" t="str">
        <f t="shared" si="6"/>
        <v/>
      </c>
      <c r="AR17" s="18" t="str">
        <f t="shared" si="6"/>
        <v/>
      </c>
      <c r="AS17" s="9" t="str">
        <f t="shared" si="6"/>
        <v/>
      </c>
      <c r="AT17" s="9" t="str">
        <f t="shared" ref="AT17:BF26" si="10">IF(AND(AT$4&gt;=$E17,AT$4&lt;=$F17),IF($J17="TAK","◆",""),"")</f>
        <v/>
      </c>
      <c r="AU17" s="9" t="str">
        <f t="shared" si="10"/>
        <v/>
      </c>
      <c r="AV17" s="9" t="str">
        <f t="shared" si="10"/>
        <v/>
      </c>
      <c r="AW17" s="9" t="str">
        <f t="shared" si="10"/>
        <v/>
      </c>
      <c r="AX17" s="18" t="str">
        <f t="shared" si="10"/>
        <v/>
      </c>
      <c r="AY17" s="18" t="str">
        <f t="shared" si="10"/>
        <v/>
      </c>
      <c r="AZ17" s="9" t="str">
        <f t="shared" si="10"/>
        <v/>
      </c>
      <c r="BA17" s="9" t="str">
        <f t="shared" si="10"/>
        <v/>
      </c>
      <c r="BB17" s="9" t="str">
        <f t="shared" si="10"/>
        <v/>
      </c>
      <c r="BC17" s="9" t="str">
        <f t="shared" si="10"/>
        <v/>
      </c>
      <c r="BD17" s="9" t="str">
        <f t="shared" si="10"/>
        <v/>
      </c>
      <c r="BE17" s="18" t="str">
        <f t="shared" si="10"/>
        <v/>
      </c>
      <c r="BF17" s="18" t="str">
        <f t="shared" si="10"/>
        <v/>
      </c>
    </row>
    <row r="18" spans="1:58" ht="27.15" customHeight="1">
      <c r="A18" s="5">
        <v>13</v>
      </c>
      <c r="B18" s="13" t="s">
        <v>18</v>
      </c>
      <c r="C18" s="6" t="s">
        <v>42</v>
      </c>
      <c r="D18" s="6" t="s">
        <v>14</v>
      </c>
      <c r="E18" s="7">
        <v>46178</v>
      </c>
      <c r="F18" s="7">
        <v>46181</v>
      </c>
      <c r="G18" s="5">
        <v>4</v>
      </c>
      <c r="H18" s="5" t="s">
        <v>10</v>
      </c>
      <c r="I18" s="8">
        <v>1</v>
      </c>
      <c r="J18" s="5"/>
      <c r="K18" s="9" t="str">
        <f t="shared" si="7"/>
        <v/>
      </c>
      <c r="L18" s="9" t="str">
        <f t="shared" si="7"/>
        <v/>
      </c>
      <c r="M18" s="9" t="str">
        <f t="shared" si="7"/>
        <v/>
      </c>
      <c r="N18" s="9" t="str">
        <f t="shared" si="7"/>
        <v/>
      </c>
      <c r="O18" s="18" t="str">
        <f t="shared" si="7"/>
        <v/>
      </c>
      <c r="P18" s="18" t="str">
        <f t="shared" si="7"/>
        <v/>
      </c>
      <c r="Q18" s="9" t="str">
        <f t="shared" si="7"/>
        <v/>
      </c>
      <c r="R18" s="9" t="str">
        <f t="shared" si="7"/>
        <v/>
      </c>
      <c r="S18" s="9" t="str">
        <f t="shared" si="7"/>
        <v/>
      </c>
      <c r="T18" s="9" t="str">
        <f t="shared" si="7"/>
        <v/>
      </c>
      <c r="U18" s="9" t="str">
        <f t="shared" si="8"/>
        <v/>
      </c>
      <c r="V18" s="18" t="str">
        <f t="shared" si="8"/>
        <v/>
      </c>
      <c r="W18" s="18" t="str">
        <f t="shared" si="8"/>
        <v/>
      </c>
      <c r="X18" s="9" t="str">
        <f t="shared" si="8"/>
        <v/>
      </c>
      <c r="Y18" s="9" t="str">
        <f t="shared" si="8"/>
        <v/>
      </c>
      <c r="Z18" s="9" t="str">
        <f t="shared" si="8"/>
        <v/>
      </c>
      <c r="AA18" s="9" t="str">
        <f t="shared" si="8"/>
        <v/>
      </c>
      <c r="AB18" s="9" t="str">
        <f t="shared" si="8"/>
        <v/>
      </c>
      <c r="AC18" s="18" t="str">
        <f t="shared" si="8"/>
        <v/>
      </c>
      <c r="AD18" s="18" t="str">
        <f t="shared" si="8"/>
        <v/>
      </c>
      <c r="AE18" s="9" t="str">
        <f t="shared" si="9"/>
        <v/>
      </c>
      <c r="AF18" s="9" t="str">
        <f t="shared" si="9"/>
        <v/>
      </c>
      <c r="AG18" s="9" t="str">
        <f t="shared" si="9"/>
        <v/>
      </c>
      <c r="AH18" s="9" t="str">
        <f t="shared" si="9"/>
        <v/>
      </c>
      <c r="AI18" s="9" t="str">
        <f t="shared" si="9"/>
        <v/>
      </c>
      <c r="AJ18" s="18" t="str">
        <f t="shared" si="9"/>
        <v/>
      </c>
      <c r="AK18" s="18" t="str">
        <f t="shared" si="9"/>
        <v/>
      </c>
      <c r="AL18" s="9" t="str">
        <f t="shared" si="9"/>
        <v/>
      </c>
      <c r="AM18" s="9" t="str">
        <f t="shared" si="9"/>
        <v/>
      </c>
      <c r="AN18" s="9" t="str">
        <f t="shared" si="9"/>
        <v/>
      </c>
      <c r="AO18" s="9" t="str">
        <f t="shared" si="9"/>
        <v/>
      </c>
      <c r="AP18" s="9" t="str">
        <f t="shared" si="9"/>
        <v/>
      </c>
      <c r="AQ18" s="18" t="str">
        <f t="shared" si="6"/>
        <v/>
      </c>
      <c r="AR18" s="18" t="str">
        <f t="shared" si="6"/>
        <v/>
      </c>
      <c r="AS18" s="9" t="str">
        <f t="shared" si="6"/>
        <v/>
      </c>
      <c r="AT18" s="9" t="str">
        <f t="shared" si="10"/>
        <v/>
      </c>
      <c r="AU18" s="9" t="str">
        <f t="shared" si="10"/>
        <v/>
      </c>
      <c r="AV18" s="9" t="str">
        <f t="shared" si="10"/>
        <v/>
      </c>
      <c r="AW18" s="9" t="str">
        <f t="shared" si="10"/>
        <v/>
      </c>
      <c r="AX18" s="18" t="str">
        <f t="shared" si="10"/>
        <v/>
      </c>
      <c r="AY18" s="18" t="str">
        <f t="shared" si="10"/>
        <v/>
      </c>
      <c r="AZ18" s="9" t="str">
        <f t="shared" si="10"/>
        <v/>
      </c>
      <c r="BA18" s="9" t="str">
        <f t="shared" si="10"/>
        <v/>
      </c>
      <c r="BB18" s="9" t="str">
        <f t="shared" si="10"/>
        <v/>
      </c>
      <c r="BC18" s="9" t="str">
        <f t="shared" si="10"/>
        <v/>
      </c>
      <c r="BD18" s="9" t="str">
        <f t="shared" si="10"/>
        <v/>
      </c>
      <c r="BE18" s="18" t="str">
        <f t="shared" si="10"/>
        <v/>
      </c>
      <c r="BF18" s="18" t="str">
        <f t="shared" si="10"/>
        <v/>
      </c>
    </row>
    <row r="19" spans="1:58" ht="27.15" customHeight="1">
      <c r="A19" s="5">
        <v>14</v>
      </c>
      <c r="B19" s="13" t="s">
        <v>18</v>
      </c>
      <c r="C19" s="6" t="s">
        <v>43</v>
      </c>
      <c r="D19" s="6" t="s">
        <v>44</v>
      </c>
      <c r="E19" s="7">
        <v>46181</v>
      </c>
      <c r="F19" s="7">
        <v>46184</v>
      </c>
      <c r="G19" s="5">
        <v>4</v>
      </c>
      <c r="H19" s="5" t="s">
        <v>10</v>
      </c>
      <c r="I19" s="8">
        <v>1</v>
      </c>
      <c r="J19" s="5"/>
      <c r="K19" s="9" t="str">
        <f t="shared" si="7"/>
        <v/>
      </c>
      <c r="L19" s="9" t="str">
        <f t="shared" si="7"/>
        <v/>
      </c>
      <c r="M19" s="9" t="str">
        <f t="shared" si="7"/>
        <v/>
      </c>
      <c r="N19" s="9" t="str">
        <f t="shared" si="7"/>
        <v/>
      </c>
      <c r="O19" s="18" t="str">
        <f t="shared" si="7"/>
        <v/>
      </c>
      <c r="P19" s="18" t="str">
        <f t="shared" si="7"/>
        <v/>
      </c>
      <c r="Q19" s="9" t="str">
        <f t="shared" si="7"/>
        <v/>
      </c>
      <c r="R19" s="9" t="str">
        <f t="shared" si="7"/>
        <v/>
      </c>
      <c r="S19" s="9" t="str">
        <f t="shared" si="7"/>
        <v/>
      </c>
      <c r="T19" s="9" t="str">
        <f t="shared" si="7"/>
        <v/>
      </c>
      <c r="U19" s="9" t="str">
        <f t="shared" si="8"/>
        <v/>
      </c>
      <c r="V19" s="18" t="str">
        <f t="shared" si="8"/>
        <v/>
      </c>
      <c r="W19" s="18" t="str">
        <f t="shared" si="8"/>
        <v/>
      </c>
      <c r="X19" s="9" t="str">
        <f t="shared" si="8"/>
        <v/>
      </c>
      <c r="Y19" s="9" t="str">
        <f t="shared" si="8"/>
        <v/>
      </c>
      <c r="Z19" s="9" t="str">
        <f t="shared" si="8"/>
        <v/>
      </c>
      <c r="AA19" s="9" t="str">
        <f t="shared" si="8"/>
        <v/>
      </c>
      <c r="AB19" s="9" t="str">
        <f t="shared" si="8"/>
        <v/>
      </c>
      <c r="AC19" s="18" t="str">
        <f t="shared" si="8"/>
        <v/>
      </c>
      <c r="AD19" s="18" t="str">
        <f t="shared" si="8"/>
        <v/>
      </c>
      <c r="AE19" s="9" t="str">
        <f t="shared" si="9"/>
        <v/>
      </c>
      <c r="AF19" s="9" t="str">
        <f t="shared" si="9"/>
        <v/>
      </c>
      <c r="AG19" s="9" t="str">
        <f t="shared" si="9"/>
        <v/>
      </c>
      <c r="AH19" s="9" t="str">
        <f t="shared" si="9"/>
        <v/>
      </c>
      <c r="AI19" s="9" t="str">
        <f t="shared" si="9"/>
        <v/>
      </c>
      <c r="AJ19" s="18" t="str">
        <f t="shared" si="9"/>
        <v/>
      </c>
      <c r="AK19" s="18" t="str">
        <f t="shared" si="9"/>
        <v/>
      </c>
      <c r="AL19" s="9" t="str">
        <f t="shared" si="9"/>
        <v/>
      </c>
      <c r="AM19" s="9" t="str">
        <f t="shared" si="9"/>
        <v/>
      </c>
      <c r="AN19" s="9" t="str">
        <f t="shared" si="9"/>
        <v/>
      </c>
      <c r="AO19" s="9" t="str">
        <f t="shared" si="9"/>
        <v/>
      </c>
      <c r="AP19" s="9" t="str">
        <f t="shared" si="9"/>
        <v/>
      </c>
      <c r="AQ19" s="18" t="str">
        <f t="shared" si="6"/>
        <v/>
      </c>
      <c r="AR19" s="18" t="str">
        <f t="shared" si="6"/>
        <v/>
      </c>
      <c r="AS19" s="9" t="str">
        <f t="shared" si="6"/>
        <v/>
      </c>
      <c r="AT19" s="9" t="str">
        <f t="shared" si="10"/>
        <v/>
      </c>
      <c r="AU19" s="9" t="str">
        <f t="shared" si="10"/>
        <v/>
      </c>
      <c r="AV19" s="9" t="str">
        <f t="shared" si="10"/>
        <v/>
      </c>
      <c r="AW19" s="9" t="str">
        <f t="shared" si="10"/>
        <v/>
      </c>
      <c r="AX19" s="18" t="str">
        <f t="shared" si="10"/>
        <v/>
      </c>
      <c r="AY19" s="18" t="str">
        <f t="shared" si="10"/>
        <v/>
      </c>
      <c r="AZ19" s="9" t="str">
        <f t="shared" si="10"/>
        <v/>
      </c>
      <c r="BA19" s="9" t="str">
        <f t="shared" si="10"/>
        <v/>
      </c>
      <c r="BB19" s="9" t="str">
        <f t="shared" si="10"/>
        <v/>
      </c>
      <c r="BC19" s="9" t="str">
        <f t="shared" si="10"/>
        <v/>
      </c>
      <c r="BD19" s="9" t="str">
        <f t="shared" si="10"/>
        <v/>
      </c>
      <c r="BE19" s="18" t="str">
        <f t="shared" si="10"/>
        <v/>
      </c>
      <c r="BF19" s="18" t="str">
        <f t="shared" si="10"/>
        <v/>
      </c>
    </row>
    <row r="20" spans="1:58" ht="27.15" customHeight="1">
      <c r="A20" s="5">
        <v>15</v>
      </c>
      <c r="B20" s="14" t="s">
        <v>27</v>
      </c>
      <c r="C20" s="6" t="s">
        <v>45</v>
      </c>
      <c r="D20" s="6" t="s">
        <v>8</v>
      </c>
      <c r="E20" s="7">
        <v>46185</v>
      </c>
      <c r="F20" s="7">
        <v>46186</v>
      </c>
      <c r="G20" s="5">
        <v>2</v>
      </c>
      <c r="H20" s="5" t="s">
        <v>10</v>
      </c>
      <c r="I20" s="8">
        <v>1</v>
      </c>
      <c r="J20" s="5"/>
      <c r="K20" s="9" t="str">
        <f t="shared" si="7"/>
        <v/>
      </c>
      <c r="L20" s="9" t="str">
        <f t="shared" si="7"/>
        <v/>
      </c>
      <c r="M20" s="9" t="str">
        <f t="shared" si="7"/>
        <v/>
      </c>
      <c r="N20" s="9" t="str">
        <f t="shared" si="7"/>
        <v/>
      </c>
      <c r="O20" s="18" t="str">
        <f t="shared" si="7"/>
        <v/>
      </c>
      <c r="P20" s="18" t="str">
        <f t="shared" si="7"/>
        <v/>
      </c>
      <c r="Q20" s="9" t="str">
        <f t="shared" si="7"/>
        <v/>
      </c>
      <c r="R20" s="9" t="str">
        <f t="shared" si="7"/>
        <v/>
      </c>
      <c r="S20" s="9" t="str">
        <f t="shared" si="7"/>
        <v/>
      </c>
      <c r="T20" s="9" t="str">
        <f t="shared" si="7"/>
        <v/>
      </c>
      <c r="U20" s="9" t="str">
        <f t="shared" si="8"/>
        <v/>
      </c>
      <c r="V20" s="18" t="str">
        <f t="shared" si="8"/>
        <v/>
      </c>
      <c r="W20" s="18" t="str">
        <f t="shared" si="8"/>
        <v/>
      </c>
      <c r="X20" s="9" t="str">
        <f t="shared" si="8"/>
        <v/>
      </c>
      <c r="Y20" s="9" t="str">
        <f t="shared" si="8"/>
        <v/>
      </c>
      <c r="Z20" s="9" t="str">
        <f t="shared" si="8"/>
        <v/>
      </c>
      <c r="AA20" s="9" t="str">
        <f t="shared" si="8"/>
        <v/>
      </c>
      <c r="AB20" s="9" t="str">
        <f t="shared" si="8"/>
        <v/>
      </c>
      <c r="AC20" s="18" t="str">
        <f t="shared" si="8"/>
        <v/>
      </c>
      <c r="AD20" s="18" t="str">
        <f t="shared" si="8"/>
        <v/>
      </c>
      <c r="AE20" s="9" t="str">
        <f t="shared" si="9"/>
        <v/>
      </c>
      <c r="AF20" s="9" t="str">
        <f t="shared" si="9"/>
        <v/>
      </c>
      <c r="AG20" s="9" t="str">
        <f t="shared" si="9"/>
        <v/>
      </c>
      <c r="AH20" s="9" t="str">
        <f t="shared" si="9"/>
        <v/>
      </c>
      <c r="AI20" s="9" t="str">
        <f t="shared" si="9"/>
        <v/>
      </c>
      <c r="AJ20" s="18" t="str">
        <f t="shared" si="9"/>
        <v/>
      </c>
      <c r="AK20" s="18" t="str">
        <f t="shared" si="9"/>
        <v/>
      </c>
      <c r="AL20" s="9" t="str">
        <f t="shared" si="9"/>
        <v/>
      </c>
      <c r="AM20" s="9" t="str">
        <f t="shared" si="9"/>
        <v/>
      </c>
      <c r="AN20" s="9" t="str">
        <f t="shared" si="9"/>
        <v/>
      </c>
      <c r="AO20" s="9" t="str">
        <f t="shared" si="9"/>
        <v/>
      </c>
      <c r="AP20" s="9" t="str">
        <f t="shared" si="9"/>
        <v/>
      </c>
      <c r="AQ20" s="18" t="str">
        <f t="shared" si="6"/>
        <v/>
      </c>
      <c r="AR20" s="18" t="str">
        <f t="shared" si="6"/>
        <v/>
      </c>
      <c r="AS20" s="9" t="str">
        <f t="shared" si="6"/>
        <v/>
      </c>
      <c r="AT20" s="9" t="str">
        <f t="shared" si="10"/>
        <v/>
      </c>
      <c r="AU20" s="9" t="str">
        <f t="shared" si="10"/>
        <v/>
      </c>
      <c r="AV20" s="9" t="str">
        <f t="shared" si="10"/>
        <v/>
      </c>
      <c r="AW20" s="9" t="str">
        <f t="shared" si="10"/>
        <v/>
      </c>
      <c r="AX20" s="18" t="str">
        <f t="shared" si="10"/>
        <v/>
      </c>
      <c r="AY20" s="18" t="str">
        <f t="shared" si="10"/>
        <v/>
      </c>
      <c r="AZ20" s="9" t="str">
        <f t="shared" si="10"/>
        <v/>
      </c>
      <c r="BA20" s="9" t="str">
        <f t="shared" si="10"/>
        <v/>
      </c>
      <c r="BB20" s="9" t="str">
        <f t="shared" si="10"/>
        <v/>
      </c>
      <c r="BC20" s="9" t="str">
        <f t="shared" si="10"/>
        <v/>
      </c>
      <c r="BD20" s="9" t="str">
        <f t="shared" si="10"/>
        <v/>
      </c>
      <c r="BE20" s="18" t="str">
        <f t="shared" si="10"/>
        <v/>
      </c>
      <c r="BF20" s="18" t="str">
        <f t="shared" si="10"/>
        <v/>
      </c>
    </row>
    <row r="21" spans="1:58" ht="27.15" customHeight="1">
      <c r="A21" s="5">
        <v>16</v>
      </c>
      <c r="B21" s="14" t="s">
        <v>27</v>
      </c>
      <c r="C21" s="6" t="s">
        <v>46</v>
      </c>
      <c r="D21" s="6" t="s">
        <v>8</v>
      </c>
      <c r="E21" s="7">
        <v>46187</v>
      </c>
      <c r="F21" s="7">
        <v>46189</v>
      </c>
      <c r="G21" s="5">
        <v>3</v>
      </c>
      <c r="H21" s="5" t="s">
        <v>10</v>
      </c>
      <c r="I21" s="8">
        <v>1</v>
      </c>
      <c r="J21" s="5"/>
      <c r="K21" s="9" t="str">
        <f t="shared" si="7"/>
        <v/>
      </c>
      <c r="L21" s="9" t="str">
        <f t="shared" si="7"/>
        <v/>
      </c>
      <c r="M21" s="9" t="str">
        <f t="shared" si="7"/>
        <v/>
      </c>
      <c r="N21" s="9" t="str">
        <f t="shared" si="7"/>
        <v/>
      </c>
      <c r="O21" s="18" t="str">
        <f t="shared" si="7"/>
        <v/>
      </c>
      <c r="P21" s="18" t="str">
        <f t="shared" si="7"/>
        <v/>
      </c>
      <c r="Q21" s="9" t="str">
        <f t="shared" si="7"/>
        <v/>
      </c>
      <c r="R21" s="9" t="str">
        <f t="shared" si="7"/>
        <v/>
      </c>
      <c r="S21" s="9" t="str">
        <f t="shared" si="7"/>
        <v/>
      </c>
      <c r="T21" s="9" t="str">
        <f t="shared" si="7"/>
        <v/>
      </c>
      <c r="U21" s="9" t="str">
        <f t="shared" si="8"/>
        <v/>
      </c>
      <c r="V21" s="18" t="str">
        <f t="shared" si="8"/>
        <v/>
      </c>
      <c r="W21" s="18" t="str">
        <f t="shared" si="8"/>
        <v/>
      </c>
      <c r="X21" s="9" t="str">
        <f t="shared" si="8"/>
        <v/>
      </c>
      <c r="Y21" s="9" t="str">
        <f t="shared" si="8"/>
        <v/>
      </c>
      <c r="Z21" s="9" t="str">
        <f t="shared" si="8"/>
        <v/>
      </c>
      <c r="AA21" s="9" t="str">
        <f t="shared" si="8"/>
        <v/>
      </c>
      <c r="AB21" s="9" t="str">
        <f t="shared" si="8"/>
        <v/>
      </c>
      <c r="AC21" s="18" t="str">
        <f t="shared" si="8"/>
        <v/>
      </c>
      <c r="AD21" s="18" t="str">
        <f t="shared" si="8"/>
        <v/>
      </c>
      <c r="AE21" s="9" t="str">
        <f t="shared" si="9"/>
        <v/>
      </c>
      <c r="AF21" s="9" t="str">
        <f t="shared" si="9"/>
        <v/>
      </c>
      <c r="AG21" s="9" t="str">
        <f t="shared" si="9"/>
        <v/>
      </c>
      <c r="AH21" s="9" t="str">
        <f t="shared" si="9"/>
        <v/>
      </c>
      <c r="AI21" s="9" t="str">
        <f t="shared" si="9"/>
        <v/>
      </c>
      <c r="AJ21" s="18" t="str">
        <f t="shared" si="9"/>
        <v/>
      </c>
      <c r="AK21" s="18" t="str">
        <f t="shared" si="9"/>
        <v/>
      </c>
      <c r="AL21" s="9" t="str">
        <f t="shared" si="9"/>
        <v/>
      </c>
      <c r="AM21" s="9" t="str">
        <f t="shared" si="9"/>
        <v/>
      </c>
      <c r="AN21" s="9" t="str">
        <f t="shared" si="9"/>
        <v/>
      </c>
      <c r="AO21" s="9" t="str">
        <f t="shared" si="9"/>
        <v/>
      </c>
      <c r="AP21" s="9" t="str">
        <f t="shared" si="9"/>
        <v/>
      </c>
      <c r="AQ21" s="18" t="str">
        <f t="shared" si="6"/>
        <v/>
      </c>
      <c r="AR21" s="18" t="str">
        <f t="shared" si="6"/>
        <v/>
      </c>
      <c r="AS21" s="9" t="str">
        <f t="shared" si="6"/>
        <v/>
      </c>
      <c r="AT21" s="9" t="str">
        <f t="shared" si="10"/>
        <v/>
      </c>
      <c r="AU21" s="9" t="str">
        <f t="shared" si="10"/>
        <v/>
      </c>
      <c r="AV21" s="9" t="str">
        <f t="shared" si="10"/>
        <v/>
      </c>
      <c r="AW21" s="9" t="str">
        <f t="shared" si="10"/>
        <v/>
      </c>
      <c r="AX21" s="18" t="str">
        <f t="shared" si="10"/>
        <v/>
      </c>
      <c r="AY21" s="18" t="str">
        <f t="shared" si="10"/>
        <v/>
      </c>
      <c r="AZ21" s="9" t="str">
        <f t="shared" si="10"/>
        <v/>
      </c>
      <c r="BA21" s="9" t="str">
        <f t="shared" si="10"/>
        <v/>
      </c>
      <c r="BB21" s="9" t="str">
        <f t="shared" si="10"/>
        <v/>
      </c>
      <c r="BC21" s="9" t="str">
        <f t="shared" si="10"/>
        <v/>
      </c>
      <c r="BD21" s="9" t="str">
        <f t="shared" si="10"/>
        <v/>
      </c>
      <c r="BE21" s="18" t="str">
        <f t="shared" si="10"/>
        <v/>
      </c>
      <c r="BF21" s="18" t="str">
        <f t="shared" si="10"/>
        <v/>
      </c>
    </row>
    <row r="22" spans="1:58" ht="27.15" customHeight="1">
      <c r="A22" s="5">
        <v>17</v>
      </c>
      <c r="B22" s="14" t="s">
        <v>27</v>
      </c>
      <c r="C22" s="6" t="s">
        <v>47</v>
      </c>
      <c r="D22" s="6" t="s">
        <v>8</v>
      </c>
      <c r="E22" s="7">
        <v>46189</v>
      </c>
      <c r="F22" s="7">
        <v>46191</v>
      </c>
      <c r="G22" s="5">
        <v>3</v>
      </c>
      <c r="H22" s="5" t="s">
        <v>10</v>
      </c>
      <c r="I22" s="8">
        <v>1</v>
      </c>
      <c r="J22" s="5" t="s">
        <v>32</v>
      </c>
      <c r="K22" s="9" t="str">
        <f t="shared" si="7"/>
        <v/>
      </c>
      <c r="L22" s="9" t="str">
        <f t="shared" si="7"/>
        <v/>
      </c>
      <c r="M22" s="9" t="str">
        <f t="shared" si="7"/>
        <v/>
      </c>
      <c r="N22" s="9" t="str">
        <f t="shared" si="7"/>
        <v/>
      </c>
      <c r="O22" s="18" t="str">
        <f t="shared" si="7"/>
        <v/>
      </c>
      <c r="P22" s="18" t="str">
        <f t="shared" si="7"/>
        <v/>
      </c>
      <c r="Q22" s="9" t="str">
        <f t="shared" si="7"/>
        <v/>
      </c>
      <c r="R22" s="9" t="str">
        <f t="shared" si="7"/>
        <v/>
      </c>
      <c r="S22" s="9" t="str">
        <f t="shared" si="7"/>
        <v/>
      </c>
      <c r="T22" s="9" t="str">
        <f t="shared" si="7"/>
        <v/>
      </c>
      <c r="U22" s="9" t="str">
        <f t="shared" si="8"/>
        <v/>
      </c>
      <c r="V22" s="18" t="str">
        <f t="shared" si="8"/>
        <v/>
      </c>
      <c r="W22" s="18" t="str">
        <f t="shared" si="8"/>
        <v/>
      </c>
      <c r="X22" s="9" t="str">
        <f t="shared" si="8"/>
        <v/>
      </c>
      <c r="Y22" s="9" t="str">
        <f t="shared" si="8"/>
        <v/>
      </c>
      <c r="Z22" s="9" t="str">
        <f t="shared" si="8"/>
        <v/>
      </c>
      <c r="AA22" s="9" t="str">
        <f t="shared" si="8"/>
        <v/>
      </c>
      <c r="AB22" s="9" t="str">
        <f t="shared" si="8"/>
        <v/>
      </c>
      <c r="AC22" s="18" t="str">
        <f t="shared" si="8"/>
        <v/>
      </c>
      <c r="AD22" s="18" t="str">
        <f t="shared" si="8"/>
        <v/>
      </c>
      <c r="AE22" s="9" t="str">
        <f t="shared" si="9"/>
        <v/>
      </c>
      <c r="AF22" s="9" t="str">
        <f t="shared" si="9"/>
        <v/>
      </c>
      <c r="AG22" s="9" t="str">
        <f t="shared" si="9"/>
        <v/>
      </c>
      <c r="AH22" s="9" t="str">
        <f t="shared" si="9"/>
        <v/>
      </c>
      <c r="AI22" s="9" t="str">
        <f t="shared" si="9"/>
        <v/>
      </c>
      <c r="AJ22" s="18" t="str">
        <f t="shared" si="9"/>
        <v/>
      </c>
      <c r="AK22" s="18" t="str">
        <f t="shared" si="9"/>
        <v/>
      </c>
      <c r="AL22" s="9" t="str">
        <f t="shared" si="9"/>
        <v/>
      </c>
      <c r="AM22" s="9" t="str">
        <f t="shared" si="9"/>
        <v/>
      </c>
      <c r="AN22" s="9" t="str">
        <f t="shared" si="9"/>
        <v/>
      </c>
      <c r="AO22" s="9" t="str">
        <f t="shared" si="9"/>
        <v/>
      </c>
      <c r="AP22" s="9" t="str">
        <f t="shared" si="9"/>
        <v/>
      </c>
      <c r="AQ22" s="18" t="str">
        <f t="shared" si="6"/>
        <v/>
      </c>
      <c r="AR22" s="18" t="str">
        <f t="shared" si="6"/>
        <v/>
      </c>
      <c r="AS22" s="9" t="str">
        <f t="shared" si="6"/>
        <v/>
      </c>
      <c r="AT22" s="9" t="str">
        <f t="shared" si="10"/>
        <v>◆</v>
      </c>
      <c r="AU22" s="9" t="str">
        <f t="shared" si="10"/>
        <v>◆</v>
      </c>
      <c r="AV22" s="9" t="str">
        <f t="shared" si="10"/>
        <v>◆</v>
      </c>
      <c r="AW22" s="9" t="str">
        <f t="shared" si="10"/>
        <v/>
      </c>
      <c r="AX22" s="18" t="str">
        <f t="shared" si="10"/>
        <v/>
      </c>
      <c r="AY22" s="18" t="str">
        <f t="shared" si="10"/>
        <v/>
      </c>
      <c r="AZ22" s="9" t="str">
        <f t="shared" si="10"/>
        <v/>
      </c>
      <c r="BA22" s="9" t="str">
        <f t="shared" si="10"/>
        <v/>
      </c>
      <c r="BB22" s="9" t="str">
        <f t="shared" si="10"/>
        <v/>
      </c>
      <c r="BC22" s="9" t="str">
        <f t="shared" si="10"/>
        <v/>
      </c>
      <c r="BD22" s="9" t="str">
        <f t="shared" si="10"/>
        <v/>
      </c>
      <c r="BE22" s="18" t="str">
        <f t="shared" si="10"/>
        <v/>
      </c>
      <c r="BF22" s="18" t="str">
        <f t="shared" si="10"/>
        <v/>
      </c>
    </row>
    <row r="23" spans="1:58" ht="27.15" customHeight="1">
      <c r="A23" s="5">
        <v>18</v>
      </c>
      <c r="B23" s="14" t="s">
        <v>27</v>
      </c>
      <c r="C23" s="6" t="s">
        <v>48</v>
      </c>
      <c r="D23" s="6" t="s">
        <v>8</v>
      </c>
      <c r="E23" s="7">
        <v>46192</v>
      </c>
      <c r="F23" s="7">
        <v>46193</v>
      </c>
      <c r="G23" s="5">
        <v>2</v>
      </c>
      <c r="H23" s="5" t="s">
        <v>10</v>
      </c>
      <c r="I23" s="8">
        <v>1</v>
      </c>
      <c r="J23" s="5"/>
      <c r="K23" s="9" t="str">
        <f t="shared" si="7"/>
        <v/>
      </c>
      <c r="L23" s="9" t="str">
        <f t="shared" si="7"/>
        <v/>
      </c>
      <c r="M23" s="9" t="str">
        <f t="shared" si="7"/>
        <v/>
      </c>
      <c r="N23" s="9" t="str">
        <f t="shared" si="7"/>
        <v/>
      </c>
      <c r="O23" s="18" t="str">
        <f t="shared" si="7"/>
        <v/>
      </c>
      <c r="P23" s="18" t="str">
        <f t="shared" si="7"/>
        <v/>
      </c>
      <c r="Q23" s="9" t="str">
        <f t="shared" si="7"/>
        <v/>
      </c>
      <c r="R23" s="9" t="str">
        <f t="shared" si="7"/>
        <v/>
      </c>
      <c r="S23" s="9" t="str">
        <f t="shared" si="7"/>
        <v/>
      </c>
      <c r="T23" s="9" t="str">
        <f t="shared" si="7"/>
        <v/>
      </c>
      <c r="U23" s="9" t="str">
        <f t="shared" si="8"/>
        <v/>
      </c>
      <c r="V23" s="18" t="str">
        <f t="shared" si="8"/>
        <v/>
      </c>
      <c r="W23" s="18" t="str">
        <f t="shared" si="8"/>
        <v/>
      </c>
      <c r="X23" s="9" t="str">
        <f t="shared" si="8"/>
        <v/>
      </c>
      <c r="Y23" s="9" t="str">
        <f t="shared" si="8"/>
        <v/>
      </c>
      <c r="Z23" s="9" t="str">
        <f t="shared" si="8"/>
        <v/>
      </c>
      <c r="AA23" s="9" t="str">
        <f t="shared" si="8"/>
        <v/>
      </c>
      <c r="AB23" s="9" t="str">
        <f t="shared" si="8"/>
        <v/>
      </c>
      <c r="AC23" s="18" t="str">
        <f t="shared" si="8"/>
        <v/>
      </c>
      <c r="AD23" s="18" t="str">
        <f t="shared" si="8"/>
        <v/>
      </c>
      <c r="AE23" s="9" t="str">
        <f t="shared" si="9"/>
        <v/>
      </c>
      <c r="AF23" s="9" t="str">
        <f t="shared" si="9"/>
        <v/>
      </c>
      <c r="AG23" s="9" t="str">
        <f t="shared" si="9"/>
        <v/>
      </c>
      <c r="AH23" s="9" t="str">
        <f t="shared" si="9"/>
        <v/>
      </c>
      <c r="AI23" s="9" t="str">
        <f t="shared" si="9"/>
        <v/>
      </c>
      <c r="AJ23" s="18" t="str">
        <f t="shared" si="9"/>
        <v/>
      </c>
      <c r="AK23" s="18" t="str">
        <f t="shared" si="9"/>
        <v/>
      </c>
      <c r="AL23" s="9" t="str">
        <f t="shared" si="9"/>
        <v/>
      </c>
      <c r="AM23" s="9" t="str">
        <f t="shared" si="9"/>
        <v/>
      </c>
      <c r="AN23" s="9" t="str">
        <f t="shared" si="9"/>
        <v/>
      </c>
      <c r="AO23" s="9" t="str">
        <f t="shared" si="9"/>
        <v/>
      </c>
      <c r="AP23" s="9" t="str">
        <f t="shared" si="9"/>
        <v/>
      </c>
      <c r="AQ23" s="18" t="str">
        <f t="shared" si="6"/>
        <v/>
      </c>
      <c r="AR23" s="18" t="str">
        <f t="shared" si="6"/>
        <v/>
      </c>
      <c r="AS23" s="9" t="str">
        <f t="shared" si="6"/>
        <v/>
      </c>
      <c r="AT23" s="9" t="str">
        <f t="shared" si="10"/>
        <v/>
      </c>
      <c r="AU23" s="9" t="str">
        <f t="shared" si="10"/>
        <v/>
      </c>
      <c r="AV23" s="9" t="str">
        <f t="shared" si="10"/>
        <v/>
      </c>
      <c r="AW23" s="9" t="str">
        <f t="shared" si="10"/>
        <v/>
      </c>
      <c r="AX23" s="18" t="str">
        <f t="shared" si="10"/>
        <v/>
      </c>
      <c r="AY23" s="18" t="str">
        <f t="shared" si="10"/>
        <v/>
      </c>
      <c r="AZ23" s="9" t="str">
        <f t="shared" si="10"/>
        <v/>
      </c>
      <c r="BA23" s="9" t="str">
        <f t="shared" si="10"/>
        <v/>
      </c>
      <c r="BB23" s="9" t="str">
        <f t="shared" si="10"/>
        <v/>
      </c>
      <c r="BC23" s="9" t="str">
        <f t="shared" si="10"/>
        <v/>
      </c>
      <c r="BD23" s="9" t="str">
        <f t="shared" si="10"/>
        <v/>
      </c>
      <c r="BE23" s="18" t="str">
        <f t="shared" si="10"/>
        <v/>
      </c>
      <c r="BF23" s="18" t="str">
        <f t="shared" si="10"/>
        <v/>
      </c>
    </row>
    <row r="24" spans="1:58" ht="27.15" customHeight="1">
      <c r="A24" s="5">
        <v>19</v>
      </c>
      <c r="B24" s="15" t="s">
        <v>28</v>
      </c>
      <c r="C24" s="6" t="s">
        <v>49</v>
      </c>
      <c r="D24" s="6" t="s">
        <v>14</v>
      </c>
      <c r="E24" s="7">
        <v>46194</v>
      </c>
      <c r="F24" s="7">
        <v>46197</v>
      </c>
      <c r="G24" s="5">
        <v>4</v>
      </c>
      <c r="H24" s="5" t="s">
        <v>11</v>
      </c>
      <c r="I24" s="8">
        <v>0.75</v>
      </c>
      <c r="J24" s="5"/>
      <c r="K24" s="9" t="str">
        <f t="shared" si="7"/>
        <v/>
      </c>
      <c r="L24" s="9" t="str">
        <f t="shared" si="7"/>
        <v/>
      </c>
      <c r="M24" s="9" t="str">
        <f t="shared" si="7"/>
        <v/>
      </c>
      <c r="N24" s="9" t="str">
        <f t="shared" si="7"/>
        <v/>
      </c>
      <c r="O24" s="18" t="str">
        <f t="shared" si="7"/>
        <v/>
      </c>
      <c r="P24" s="18" t="str">
        <f t="shared" si="7"/>
        <v/>
      </c>
      <c r="Q24" s="9" t="str">
        <f t="shared" si="7"/>
        <v/>
      </c>
      <c r="R24" s="9" t="str">
        <f t="shared" si="7"/>
        <v/>
      </c>
      <c r="S24" s="9" t="str">
        <f t="shared" si="7"/>
        <v/>
      </c>
      <c r="T24" s="9" t="str">
        <f t="shared" si="7"/>
        <v/>
      </c>
      <c r="U24" s="9" t="str">
        <f t="shared" si="8"/>
        <v/>
      </c>
      <c r="V24" s="18" t="str">
        <f t="shared" si="8"/>
        <v/>
      </c>
      <c r="W24" s="18" t="str">
        <f t="shared" si="8"/>
        <v/>
      </c>
      <c r="X24" s="9" t="str">
        <f t="shared" si="8"/>
        <v/>
      </c>
      <c r="Y24" s="9" t="str">
        <f t="shared" si="8"/>
        <v/>
      </c>
      <c r="Z24" s="9" t="str">
        <f t="shared" si="8"/>
        <v/>
      </c>
      <c r="AA24" s="9" t="str">
        <f t="shared" si="8"/>
        <v/>
      </c>
      <c r="AB24" s="9" t="str">
        <f t="shared" si="8"/>
        <v/>
      </c>
      <c r="AC24" s="18" t="str">
        <f t="shared" si="8"/>
        <v/>
      </c>
      <c r="AD24" s="18" t="str">
        <f t="shared" si="8"/>
        <v/>
      </c>
      <c r="AE24" s="9" t="str">
        <f t="shared" si="9"/>
        <v/>
      </c>
      <c r="AF24" s="9" t="str">
        <f t="shared" si="9"/>
        <v/>
      </c>
      <c r="AG24" s="9" t="str">
        <f t="shared" si="9"/>
        <v/>
      </c>
      <c r="AH24" s="9" t="str">
        <f t="shared" si="9"/>
        <v/>
      </c>
      <c r="AI24" s="9" t="str">
        <f t="shared" si="9"/>
        <v/>
      </c>
      <c r="AJ24" s="18" t="str">
        <f t="shared" si="9"/>
        <v/>
      </c>
      <c r="AK24" s="18" t="str">
        <f t="shared" si="9"/>
        <v/>
      </c>
      <c r="AL24" s="9" t="str">
        <f t="shared" si="9"/>
        <v/>
      </c>
      <c r="AM24" s="9" t="str">
        <f t="shared" si="9"/>
        <v/>
      </c>
      <c r="AN24" s="9" t="str">
        <f t="shared" si="9"/>
        <v/>
      </c>
      <c r="AO24" s="9" t="str">
        <f t="shared" si="9"/>
        <v/>
      </c>
      <c r="AP24" s="9" t="str">
        <f t="shared" si="9"/>
        <v/>
      </c>
      <c r="AQ24" s="18" t="str">
        <f t="shared" si="6"/>
        <v/>
      </c>
      <c r="AR24" s="18" t="str">
        <f t="shared" si="6"/>
        <v/>
      </c>
      <c r="AS24" s="9" t="str">
        <f t="shared" si="6"/>
        <v/>
      </c>
      <c r="AT24" s="9" t="str">
        <f t="shared" si="10"/>
        <v/>
      </c>
      <c r="AU24" s="9" t="str">
        <f t="shared" si="10"/>
        <v/>
      </c>
      <c r="AV24" s="9" t="str">
        <f t="shared" si="10"/>
        <v/>
      </c>
      <c r="AW24" s="9" t="str">
        <f t="shared" si="10"/>
        <v/>
      </c>
      <c r="AX24" s="18" t="str">
        <f t="shared" si="10"/>
        <v/>
      </c>
      <c r="AY24" s="18" t="str">
        <f t="shared" si="10"/>
        <v/>
      </c>
      <c r="AZ24" s="9" t="str">
        <f t="shared" si="10"/>
        <v/>
      </c>
      <c r="BA24" s="9" t="str">
        <f t="shared" si="10"/>
        <v/>
      </c>
      <c r="BB24" s="9" t="str">
        <f t="shared" si="10"/>
        <v/>
      </c>
      <c r="BC24" s="9" t="str">
        <f t="shared" si="10"/>
        <v/>
      </c>
      <c r="BD24" s="9" t="str">
        <f t="shared" si="10"/>
        <v/>
      </c>
      <c r="BE24" s="18" t="str">
        <f t="shared" si="10"/>
        <v/>
      </c>
      <c r="BF24" s="18" t="str">
        <f t="shared" si="10"/>
        <v/>
      </c>
    </row>
    <row r="25" spans="1:58" ht="27.15" customHeight="1">
      <c r="A25" s="5">
        <v>20</v>
      </c>
      <c r="B25" s="15" t="s">
        <v>28</v>
      </c>
      <c r="C25" s="6" t="s">
        <v>50</v>
      </c>
      <c r="D25" s="6" t="s">
        <v>44</v>
      </c>
      <c r="E25" s="7">
        <v>46197</v>
      </c>
      <c r="F25" s="7">
        <v>46199</v>
      </c>
      <c r="G25" s="5">
        <v>3</v>
      </c>
      <c r="H25" s="5" t="s">
        <v>11</v>
      </c>
      <c r="I25" s="8">
        <v>0.6</v>
      </c>
      <c r="J25" s="5"/>
      <c r="K25" s="9" t="str">
        <f t="shared" si="7"/>
        <v/>
      </c>
      <c r="L25" s="9" t="str">
        <f t="shared" si="7"/>
        <v/>
      </c>
      <c r="M25" s="9" t="str">
        <f t="shared" si="7"/>
        <v/>
      </c>
      <c r="N25" s="9" t="str">
        <f t="shared" si="7"/>
        <v/>
      </c>
      <c r="O25" s="18" t="str">
        <f t="shared" si="7"/>
        <v/>
      </c>
      <c r="P25" s="18" t="str">
        <f t="shared" si="7"/>
        <v/>
      </c>
      <c r="Q25" s="9" t="str">
        <f t="shared" si="7"/>
        <v/>
      </c>
      <c r="R25" s="9" t="str">
        <f t="shared" si="7"/>
        <v/>
      </c>
      <c r="S25" s="9" t="str">
        <f t="shared" si="7"/>
        <v/>
      </c>
      <c r="T25" s="9" t="str">
        <f t="shared" si="7"/>
        <v/>
      </c>
      <c r="U25" s="9" t="str">
        <f t="shared" si="8"/>
        <v/>
      </c>
      <c r="V25" s="18" t="str">
        <f t="shared" si="8"/>
        <v/>
      </c>
      <c r="W25" s="18" t="str">
        <f t="shared" si="8"/>
        <v/>
      </c>
      <c r="X25" s="9" t="str">
        <f t="shared" si="8"/>
        <v/>
      </c>
      <c r="Y25" s="9" t="str">
        <f t="shared" si="8"/>
        <v/>
      </c>
      <c r="Z25" s="9" t="str">
        <f t="shared" si="8"/>
        <v/>
      </c>
      <c r="AA25" s="9" t="str">
        <f t="shared" si="8"/>
        <v/>
      </c>
      <c r="AB25" s="9" t="str">
        <f t="shared" si="8"/>
        <v/>
      </c>
      <c r="AC25" s="18" t="str">
        <f t="shared" si="8"/>
        <v/>
      </c>
      <c r="AD25" s="18" t="str">
        <f t="shared" si="8"/>
        <v/>
      </c>
      <c r="AE25" s="9" t="str">
        <f t="shared" si="9"/>
        <v/>
      </c>
      <c r="AF25" s="9" t="str">
        <f t="shared" si="9"/>
        <v/>
      </c>
      <c r="AG25" s="9" t="str">
        <f t="shared" si="9"/>
        <v/>
      </c>
      <c r="AH25" s="9" t="str">
        <f t="shared" si="9"/>
        <v/>
      </c>
      <c r="AI25" s="9" t="str">
        <f t="shared" si="9"/>
        <v/>
      </c>
      <c r="AJ25" s="18" t="str">
        <f t="shared" si="9"/>
        <v/>
      </c>
      <c r="AK25" s="18" t="str">
        <f t="shared" si="9"/>
        <v/>
      </c>
      <c r="AL25" s="9" t="str">
        <f t="shared" si="9"/>
        <v/>
      </c>
      <c r="AM25" s="9" t="str">
        <f t="shared" si="9"/>
        <v/>
      </c>
      <c r="AN25" s="9" t="str">
        <f t="shared" si="9"/>
        <v/>
      </c>
      <c r="AO25" s="9" t="str">
        <f t="shared" si="9"/>
        <v/>
      </c>
      <c r="AP25" s="9" t="str">
        <f t="shared" si="9"/>
        <v/>
      </c>
      <c r="AQ25" s="18" t="str">
        <f t="shared" si="6"/>
        <v/>
      </c>
      <c r="AR25" s="18" t="str">
        <f t="shared" si="6"/>
        <v/>
      </c>
      <c r="AS25" s="9" t="str">
        <f t="shared" si="6"/>
        <v/>
      </c>
      <c r="AT25" s="9" t="str">
        <f t="shared" si="10"/>
        <v/>
      </c>
      <c r="AU25" s="9" t="str">
        <f t="shared" si="10"/>
        <v/>
      </c>
      <c r="AV25" s="9" t="str">
        <f t="shared" si="10"/>
        <v/>
      </c>
      <c r="AW25" s="9" t="str">
        <f t="shared" si="10"/>
        <v/>
      </c>
      <c r="AX25" s="18" t="str">
        <f t="shared" si="10"/>
        <v/>
      </c>
      <c r="AY25" s="18" t="str">
        <f t="shared" si="10"/>
        <v/>
      </c>
      <c r="AZ25" s="9" t="str">
        <f t="shared" si="10"/>
        <v/>
      </c>
      <c r="BA25" s="9" t="str">
        <f t="shared" si="10"/>
        <v/>
      </c>
      <c r="BB25" s="9" t="str">
        <f t="shared" si="10"/>
        <v/>
      </c>
      <c r="BC25" s="9" t="str">
        <f t="shared" si="10"/>
        <v/>
      </c>
      <c r="BD25" s="9" t="str">
        <f t="shared" si="10"/>
        <v/>
      </c>
      <c r="BE25" s="18" t="str">
        <f t="shared" si="10"/>
        <v/>
      </c>
      <c r="BF25" s="18" t="str">
        <f t="shared" si="10"/>
        <v/>
      </c>
    </row>
    <row r="26" spans="1:58" ht="27.15" customHeight="1">
      <c r="A26" s="5">
        <v>21</v>
      </c>
      <c r="B26" s="15" t="s">
        <v>28</v>
      </c>
      <c r="C26" s="6" t="s">
        <v>51</v>
      </c>
      <c r="D26" s="6" t="s">
        <v>44</v>
      </c>
      <c r="E26" s="7">
        <v>46200</v>
      </c>
      <c r="F26" s="7">
        <v>46201</v>
      </c>
      <c r="G26" s="5">
        <v>2</v>
      </c>
      <c r="H26" s="5" t="s">
        <v>16</v>
      </c>
      <c r="I26" s="8">
        <v>0</v>
      </c>
      <c r="J26" s="5" t="s">
        <v>32</v>
      </c>
      <c r="K26" s="9" t="str">
        <f t="shared" si="7"/>
        <v/>
      </c>
      <c r="L26" s="9" t="str">
        <f t="shared" si="7"/>
        <v/>
      </c>
      <c r="M26" s="9" t="str">
        <f t="shared" si="7"/>
        <v/>
      </c>
      <c r="N26" s="9" t="str">
        <f t="shared" si="7"/>
        <v/>
      </c>
      <c r="O26" s="18" t="str">
        <f t="shared" si="7"/>
        <v/>
      </c>
      <c r="P26" s="18" t="str">
        <f t="shared" si="7"/>
        <v/>
      </c>
      <c r="Q26" s="9" t="str">
        <f t="shared" si="7"/>
        <v/>
      </c>
      <c r="R26" s="9" t="str">
        <f t="shared" si="7"/>
        <v/>
      </c>
      <c r="S26" s="9" t="str">
        <f t="shared" si="7"/>
        <v/>
      </c>
      <c r="T26" s="9" t="str">
        <f t="shared" si="7"/>
        <v/>
      </c>
      <c r="U26" s="9" t="str">
        <f t="shared" si="8"/>
        <v/>
      </c>
      <c r="V26" s="18" t="str">
        <f t="shared" si="8"/>
        <v/>
      </c>
      <c r="W26" s="18" t="str">
        <f t="shared" si="8"/>
        <v/>
      </c>
      <c r="X26" s="9" t="str">
        <f t="shared" si="8"/>
        <v/>
      </c>
      <c r="Y26" s="9" t="str">
        <f t="shared" si="8"/>
        <v/>
      </c>
      <c r="Z26" s="9" t="str">
        <f t="shared" si="8"/>
        <v/>
      </c>
      <c r="AA26" s="9" t="str">
        <f t="shared" si="8"/>
        <v/>
      </c>
      <c r="AB26" s="9" t="str">
        <f t="shared" si="8"/>
        <v/>
      </c>
      <c r="AC26" s="18" t="str">
        <f t="shared" si="8"/>
        <v/>
      </c>
      <c r="AD26" s="18" t="str">
        <f t="shared" si="8"/>
        <v/>
      </c>
      <c r="AE26" s="9" t="str">
        <f t="shared" si="9"/>
        <v/>
      </c>
      <c r="AF26" s="9" t="str">
        <f t="shared" si="9"/>
        <v/>
      </c>
      <c r="AG26" s="9" t="str">
        <f t="shared" si="9"/>
        <v/>
      </c>
      <c r="AH26" s="9" t="str">
        <f t="shared" si="9"/>
        <v/>
      </c>
      <c r="AI26" s="9" t="str">
        <f t="shared" si="9"/>
        <v/>
      </c>
      <c r="AJ26" s="18" t="str">
        <f t="shared" si="9"/>
        <v/>
      </c>
      <c r="AK26" s="18" t="str">
        <f t="shared" si="9"/>
        <v/>
      </c>
      <c r="AL26" s="9" t="str">
        <f t="shared" si="9"/>
        <v/>
      </c>
      <c r="AM26" s="9" t="str">
        <f t="shared" si="9"/>
        <v/>
      </c>
      <c r="AN26" s="9" t="str">
        <f t="shared" si="9"/>
        <v/>
      </c>
      <c r="AO26" s="9" t="str">
        <f t="shared" si="9"/>
        <v/>
      </c>
      <c r="AP26" s="9" t="str">
        <f t="shared" si="9"/>
        <v/>
      </c>
      <c r="AQ26" s="18" t="str">
        <f t="shared" si="6"/>
        <v/>
      </c>
      <c r="AR26" s="18" t="str">
        <f t="shared" si="6"/>
        <v/>
      </c>
      <c r="AS26" s="9" t="str">
        <f t="shared" si="6"/>
        <v/>
      </c>
      <c r="AT26" s="9" t="str">
        <f t="shared" si="10"/>
        <v/>
      </c>
      <c r="AU26" s="9" t="str">
        <f t="shared" si="10"/>
        <v/>
      </c>
      <c r="AV26" s="9" t="str">
        <f t="shared" si="10"/>
        <v/>
      </c>
      <c r="AW26" s="9" t="str">
        <f t="shared" si="10"/>
        <v/>
      </c>
      <c r="AX26" s="18" t="str">
        <f t="shared" si="10"/>
        <v/>
      </c>
      <c r="AY26" s="18" t="str">
        <f t="shared" si="10"/>
        <v/>
      </c>
      <c r="AZ26" s="9" t="str">
        <f t="shared" si="10"/>
        <v/>
      </c>
      <c r="BA26" s="9" t="str">
        <f t="shared" si="10"/>
        <v/>
      </c>
      <c r="BB26" s="9" t="str">
        <f t="shared" si="10"/>
        <v/>
      </c>
      <c r="BC26" s="9" t="str">
        <f t="shared" si="10"/>
        <v/>
      </c>
      <c r="BD26" s="9" t="str">
        <f t="shared" si="10"/>
        <v/>
      </c>
      <c r="BE26" s="18" t="str">
        <f t="shared" si="10"/>
        <v>◆</v>
      </c>
      <c r="BF26" s="18" t="str">
        <f t="shared" si="10"/>
        <v>◆</v>
      </c>
    </row>
    <row r="29" spans="1:58">
      <c r="B29" s="27" t="s">
        <v>3</v>
      </c>
      <c r="C29" s="27"/>
    </row>
    <row r="30" spans="1:58">
      <c r="B30" s="21" t="s">
        <v>7</v>
      </c>
      <c r="C30" s="21"/>
    </row>
    <row r="31" spans="1:58">
      <c r="B31" s="22" t="s">
        <v>13</v>
      </c>
      <c r="C31" s="22"/>
    </row>
    <row r="32" spans="1:58">
      <c r="B32" s="23" t="s">
        <v>17</v>
      </c>
      <c r="C32" s="23"/>
    </row>
    <row r="33" spans="2:3">
      <c r="B33" s="24" t="s">
        <v>18</v>
      </c>
      <c r="C33" s="24"/>
    </row>
  </sheetData>
  <mergeCells count="7">
    <mergeCell ref="B30:C30"/>
    <mergeCell ref="B31:C31"/>
    <mergeCell ref="B32:C32"/>
    <mergeCell ref="B33:C33"/>
    <mergeCell ref="A2:BE2"/>
    <mergeCell ref="A3:BE3"/>
    <mergeCell ref="B29:C29"/>
  </mergeCells>
  <conditionalFormatting sqref="H6:H26">
    <cfRule type="expression" dxfId="9" priority="9">
      <formula>$H6="Zakończone"</formula>
    </cfRule>
    <cfRule type="expression" dxfId="8" priority="10">
      <formula>$H6="W trakcie"</formula>
    </cfRule>
    <cfRule type="expression" dxfId="7" priority="11">
      <formula>$H6="Planowane"</formula>
    </cfRule>
  </conditionalFormatting>
  <conditionalFormatting sqref="I6:I26">
    <cfRule type="dataBar" priority="8">
      <dataBar>
        <cfvo type="min"/>
        <cfvo type="max"/>
        <color rgb="FF70AD47"/>
      </dataBar>
    </cfRule>
    <cfRule type="dataBar" priority="1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{597E784F-51B7-50EF-EBF7-4553D2AD2B8A}</x14:id>
        </ext>
      </extLst>
    </cfRule>
  </conditionalFormatting>
  <conditionalFormatting sqref="K6:BF26">
    <cfRule type="expression" dxfId="6" priority="1">
      <formula>AND(K$4&gt;=$E6,K$4&lt;=$F6,$B6="Analiza")</formula>
    </cfRule>
    <cfRule type="expression" dxfId="5" priority="2">
      <formula>AND(K$4&gt;=$E6,K$4&lt;=$F6,$B6="Projektowanie")</formula>
    </cfRule>
    <cfRule type="expression" dxfId="4" priority="3">
      <formula>AND(K$4&gt;=$E6,K$4&lt;=$F6,$B6="Implementacja")</formula>
    </cfRule>
    <cfRule type="expression" dxfId="3" priority="4">
      <formula>AND(K$4&gt;=$E6,K$4&lt;=$F6,$B6="Testy")</formula>
    </cfRule>
    <cfRule type="expression" dxfId="2" priority="5">
      <formula>AND(K$4&gt;=$E6,K$4&lt;=$F6,$B6="Wdrożenie")</formula>
    </cfRule>
    <cfRule type="expression" dxfId="1" priority="6">
      <formula>AND(K$4&gt;=$E6,K$4&lt;=$F6,$B6="Dokumentacja")</formula>
    </cfRule>
    <cfRule type="expression" dxfId="0" priority="7">
      <formula>AND(K$4=$E6,$J6="TAK")</formula>
    </cfRule>
  </conditionalFormatting>
  <dataValidations disablePrompts="1" count="1">
    <dataValidation type="list" sqref="H6:H26" xr:uid="{00000000-0002-0000-0000-000000000000}">
      <formula1>"Planowane,W trakcie,Zakończone"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7E784F-51B7-50EF-EBF7-4553D2AD2B8A}">
            <x14:dataBar>
              <x14:cfvo type="min"/>
              <x14:cfvo type="max"/>
              <x14:negativeFillColor auto="1"/>
              <x14:axisColor auto="1"/>
            </x14:dataBar>
          </x14:cfRule>
          <xm:sqref>I6:I26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workbookViewId="0">
      <selection activeCell="B23" sqref="B23"/>
    </sheetView>
  </sheetViews>
  <sheetFormatPr defaultRowHeight="13.8"/>
  <cols>
    <col min="1" max="1" width="25.69921875" bestFit="1" customWidth="1"/>
    <col min="2" max="2" width="74.59765625" customWidth="1"/>
  </cols>
  <sheetData>
    <row r="1" spans="1:2" ht="21">
      <c r="A1" s="1" t="s">
        <v>2</v>
      </c>
      <c r="B1" s="1"/>
    </row>
    <row r="3" spans="1:2">
      <c r="A3" s="2" t="s">
        <v>52</v>
      </c>
      <c r="B3" s="2" t="s">
        <v>53</v>
      </c>
    </row>
    <row r="4" spans="1:2">
      <c r="A4" s="4" t="s">
        <v>4</v>
      </c>
      <c r="B4" s="4" t="s">
        <v>5</v>
      </c>
    </row>
    <row r="5" spans="1:2" ht="27.6">
      <c r="A5" s="4" t="s">
        <v>8</v>
      </c>
      <c r="B5" s="4" t="s">
        <v>9</v>
      </c>
    </row>
    <row r="6" spans="1:2">
      <c r="A6" s="4" t="s">
        <v>14</v>
      </c>
      <c r="B6" s="4" t="s">
        <v>15</v>
      </c>
    </row>
    <row r="8" spans="1:2">
      <c r="A8" s="28" t="s">
        <v>86</v>
      </c>
      <c r="B8" s="28" t="s">
        <v>87</v>
      </c>
    </row>
    <row r="9" spans="1:2">
      <c r="A9" s="29" t="s">
        <v>88</v>
      </c>
      <c r="B9">
        <f>COUNTA(Gantt!A6:A26)</f>
        <v>21</v>
      </c>
    </row>
    <row r="10" spans="1:2">
      <c r="A10" s="29" t="s">
        <v>89</v>
      </c>
      <c r="B10">
        <f>COUNTIF(Gantt!H6:H26,"Zakończone")</f>
        <v>18</v>
      </c>
    </row>
    <row r="11" spans="1:2">
      <c r="A11" s="29" t="s">
        <v>90</v>
      </c>
      <c r="B11">
        <f>COUNTIF(Gantt!H6:H26,"W trakcie")</f>
        <v>2</v>
      </c>
    </row>
    <row r="12" spans="1:2">
      <c r="A12" s="29" t="s">
        <v>91</v>
      </c>
      <c r="B12">
        <f>COUNTIF(Gantt!H6:H26,"Planowane")</f>
        <v>1</v>
      </c>
    </row>
    <row r="13" spans="1:2">
      <c r="A13" s="29" t="s">
        <v>92</v>
      </c>
      <c r="B13">
        <f>COUNTIF(Gantt!J9:J27,"Tak")</f>
        <v>3</v>
      </c>
    </row>
    <row r="14" spans="1:2">
      <c r="A14" s="29" t="s">
        <v>93</v>
      </c>
      <c r="B14" s="30">
        <f>AVERAGE(Gantt!I6:I26)</f>
        <v>0.92142857142857149</v>
      </c>
    </row>
    <row r="15" spans="1:2">
      <c r="A15" s="29" t="s">
        <v>94</v>
      </c>
      <c r="B15" s="31">
        <f>MIN(Gantt!E6:E26)</f>
        <v>46154</v>
      </c>
    </row>
    <row r="16" spans="1:2">
      <c r="A16" s="29" t="s">
        <v>95</v>
      </c>
      <c r="B16" s="31">
        <f>MAX(Gantt!F6:F26)</f>
        <v>46201</v>
      </c>
    </row>
    <row r="18" spans="1:2">
      <c r="A18" s="28" t="s">
        <v>96</v>
      </c>
      <c r="B18" s="28" t="s">
        <v>88</v>
      </c>
    </row>
    <row r="19" spans="1:2">
      <c r="A19" t="s">
        <v>4</v>
      </c>
      <c r="B19">
        <f>COUNTIF(Gantt!D6:D26,"Kamil Żero")</f>
        <v>6</v>
      </c>
    </row>
    <row r="20" spans="1:2">
      <c r="A20" t="s">
        <v>8</v>
      </c>
      <c r="B20">
        <f>COUNTIF(Gantt!D6:D26,"Marek Najbuk")</f>
        <v>5</v>
      </c>
    </row>
    <row r="21" spans="1:2">
      <c r="A21" t="s">
        <v>14</v>
      </c>
      <c r="B21">
        <f>COUNTIF(Gantt!D6:D26,"Marek Palinowski")</f>
        <v>5</v>
      </c>
    </row>
    <row r="22" spans="1:2">
      <c r="A22" t="s">
        <v>44</v>
      </c>
      <c r="B22">
        <f>COUNTIF(Gantt!D6:D26,"Cały zespół")</f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11" sqref="E11"/>
    </sheetView>
  </sheetViews>
  <sheetFormatPr defaultRowHeight="13.8"/>
  <cols>
    <col min="1" max="1" width="40.3984375" customWidth="1"/>
    <col min="2" max="2" width="19" bestFit="1" customWidth="1"/>
    <col min="3" max="3" width="6.796875" bestFit="1" customWidth="1"/>
    <col min="4" max="4" width="39.69921875" customWidth="1"/>
    <col min="5" max="5" width="36.3984375" customWidth="1"/>
  </cols>
  <sheetData>
    <row r="1" spans="1:5" ht="27.6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</row>
    <row r="2" spans="1:5" ht="27.6">
      <c r="A2" s="4" t="s">
        <v>59</v>
      </c>
      <c r="B2" s="4" t="s">
        <v>60</v>
      </c>
      <c r="C2" s="4" t="s">
        <v>61</v>
      </c>
      <c r="D2" s="4" t="s">
        <v>62</v>
      </c>
      <c r="E2" s="4" t="s">
        <v>63</v>
      </c>
    </row>
    <row r="3" spans="1:5">
      <c r="A3" s="4" t="s">
        <v>64</v>
      </c>
      <c r="B3" s="4" t="s">
        <v>60</v>
      </c>
      <c r="C3" s="4" t="s">
        <v>65</v>
      </c>
      <c r="D3" s="4" t="s">
        <v>66</v>
      </c>
      <c r="E3" s="4" t="s">
        <v>67</v>
      </c>
    </row>
    <row r="4" spans="1:5" ht="27.6">
      <c r="A4" s="4" t="s">
        <v>68</v>
      </c>
      <c r="B4" s="4" t="s">
        <v>60</v>
      </c>
      <c r="C4" s="4" t="s">
        <v>65</v>
      </c>
      <c r="D4" s="4" t="s">
        <v>69</v>
      </c>
      <c r="E4" s="4" t="s">
        <v>70</v>
      </c>
    </row>
    <row r="5" spans="1:5" ht="27.6">
      <c r="A5" s="4" t="s">
        <v>71</v>
      </c>
      <c r="B5" s="4" t="s">
        <v>72</v>
      </c>
      <c r="C5" s="4" t="s">
        <v>61</v>
      </c>
      <c r="D5" s="4" t="s">
        <v>73</v>
      </c>
      <c r="E5" s="4" t="s">
        <v>74</v>
      </c>
    </row>
    <row r="6" spans="1:5">
      <c r="A6" s="4" t="s">
        <v>75</v>
      </c>
      <c r="B6" s="4" t="s">
        <v>76</v>
      </c>
      <c r="C6" s="4" t="s">
        <v>65</v>
      </c>
      <c r="D6" s="4" t="s">
        <v>77</v>
      </c>
      <c r="E6" s="4" t="s">
        <v>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3.8"/>
  <cols>
    <col min="1" max="1" width="90" customWidth="1"/>
  </cols>
  <sheetData>
    <row r="1" spans="1:1" ht="21">
      <c r="A1" s="1" t="s">
        <v>79</v>
      </c>
    </row>
    <row r="2" spans="1:1">
      <c r="A2" s="4" t="s">
        <v>80</v>
      </c>
    </row>
    <row r="3" spans="1:1">
      <c r="A3" s="4" t="s">
        <v>81</v>
      </c>
    </row>
    <row r="4" spans="1:1">
      <c r="A4" s="4" t="s">
        <v>82</v>
      </c>
    </row>
    <row r="5" spans="1:1">
      <c r="A5" s="4" t="s">
        <v>83</v>
      </c>
    </row>
    <row r="6" spans="1:1">
      <c r="A6" s="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Gantt</vt:lpstr>
      <vt:lpstr>Zespół</vt:lpstr>
      <vt:lpstr>Ryzyka</vt:lpstr>
      <vt:lpstr>Instrukcja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najbuk</dc:creator>
  <cp:lastModifiedBy>Najbuk Mirosław</cp:lastModifiedBy>
  <dcterms:created xsi:type="dcterms:W3CDTF">2026-06-26T11:43:11Z</dcterms:created>
  <dcterms:modified xsi:type="dcterms:W3CDTF">2026-06-26T12:24:15Z</dcterms:modified>
</cp:coreProperties>
</file>